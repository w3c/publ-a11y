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greg/Git/publ-a11y/a11y-meta-display-guide/2.1/draft/localizations/"/>
    </mc:Choice>
  </mc:AlternateContent>
  <xr:revisionPtr revIDLastSave="0" documentId="13_ncr:1_{C523D3C6-4F68-C441-A55D-F022A069B57E}" xr6:coauthVersionLast="47" xr6:coauthVersionMax="47" xr10:uidLastSave="{00000000-0000-0000-0000-000000000000}"/>
  <bookViews>
    <workbookView xWindow="0" yWindow="740" windowWidth="29400" windowHeight="17040" xr2:uid="{2FB70C81-061D-D945-B60D-ABB2568C93DD}"/>
  </bookViews>
  <sheets>
    <sheet name="crosscheck" sheetId="3" r:id="rId1"/>
    <sheet name="guidelines-string" sheetId="6" r:id="rId2"/>
    <sheet name="epub-metadata-strings" sheetId="5" r:id="rId3"/>
    <sheet name="onix-metadata-strings" sheetId="8" r:id="rId4"/>
  </sheets>
  <definedNames>
    <definedName name="_xlnm._FilterDatabase" localSheetId="0" hidden="1">crosscheck!$A$1:$F$94</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 l="1" a="1"/>
  <c r="A2" i="3" s="1"/>
  <c r="E2" i="3" s="1"/>
  <c r="A180" i="6"/>
  <c r="A181" i="6"/>
  <c r="A182" i="6"/>
  <c r="A183" i="6"/>
  <c r="A184" i="6"/>
  <c r="A185" i="6"/>
  <c r="A186" i="6"/>
  <c r="A187" i="6"/>
  <c r="A188" i="6"/>
  <c r="A189" i="6"/>
  <c r="A190" i="6"/>
  <c r="A191" i="6"/>
  <c r="A171" i="6"/>
  <c r="A172" i="6"/>
  <c r="A173" i="6"/>
  <c r="A174" i="6"/>
  <c r="A175" i="6"/>
  <c r="A176" i="6"/>
  <c r="A177" i="6"/>
  <c r="A178" i="6"/>
  <c r="A179" i="6"/>
  <c r="A169" i="6"/>
  <c r="A170" i="6"/>
  <c r="A145" i="6"/>
  <c r="A146" i="6"/>
  <c r="A147" i="6"/>
  <c r="A148" i="6"/>
  <c r="A149" i="6"/>
  <c r="A150" i="6"/>
  <c r="A151" i="6"/>
  <c r="A152" i="6"/>
  <c r="A153" i="6"/>
  <c r="A154" i="6"/>
  <c r="A155" i="6"/>
  <c r="A156" i="6"/>
  <c r="A157" i="6"/>
  <c r="A158" i="6"/>
  <c r="A159" i="6"/>
  <c r="A160" i="6"/>
  <c r="A161" i="6"/>
  <c r="A162" i="6"/>
  <c r="A163" i="6"/>
  <c r="A164" i="6"/>
  <c r="A165" i="6"/>
  <c r="A166" i="6"/>
  <c r="A167" i="6"/>
  <c r="A168" i="6"/>
  <c r="A136" i="6"/>
  <c r="A137" i="6"/>
  <c r="A138" i="6"/>
  <c r="A139" i="6"/>
  <c r="A140" i="6"/>
  <c r="A141" i="6"/>
  <c r="A142" i="6"/>
  <c r="A143" i="6"/>
  <c r="A144" i="6"/>
  <c r="E94" i="3"/>
  <c r="A116" i="6"/>
  <c r="A117" i="6"/>
  <c r="A118" i="6"/>
  <c r="A119" i="6"/>
  <c r="A120" i="6"/>
  <c r="A121" i="6"/>
  <c r="A122" i="6"/>
  <c r="A123" i="6"/>
  <c r="A124" i="6"/>
  <c r="A125" i="6"/>
  <c r="A126" i="6"/>
  <c r="A127" i="6"/>
  <c r="A128" i="6"/>
  <c r="A129" i="6"/>
  <c r="A130" i="6"/>
  <c r="A131" i="6"/>
  <c r="A132" i="6"/>
  <c r="A133" i="6"/>
  <c r="A134" i="6"/>
  <c r="A135" i="6"/>
  <c r="A114" i="6"/>
  <c r="A115" i="6"/>
  <c r="A113" i="6"/>
  <c r="A105" i="6"/>
  <c r="A106" i="6"/>
  <c r="A107" i="6"/>
  <c r="A108" i="6"/>
  <c r="A109" i="6"/>
  <c r="A110" i="6"/>
  <c r="A111" i="6"/>
  <c r="A112" i="6"/>
  <c r="A104"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2" i="6"/>
  <c r="C93" i="3" l="1"/>
  <c r="C90" i="3"/>
  <c r="C92" i="3"/>
  <c r="C91" i="3"/>
  <c r="C89" i="3"/>
  <c r="C88" i="3"/>
  <c r="C87" i="3"/>
  <c r="B91" i="3"/>
  <c r="B92" i="3"/>
  <c r="B93" i="3"/>
  <c r="B88" i="3"/>
  <c r="B87" i="3"/>
  <c r="B90" i="3"/>
  <c r="B89" i="3"/>
  <c r="B86" i="3"/>
  <c r="B78" i="3"/>
  <c r="B70" i="3"/>
  <c r="C84" i="3"/>
  <c r="B83" i="3"/>
  <c r="B75" i="3"/>
  <c r="B67" i="3"/>
  <c r="B82" i="3"/>
  <c r="B66" i="3"/>
  <c r="B81" i="3"/>
  <c r="B65" i="3"/>
  <c r="B72" i="3"/>
  <c r="C86" i="3"/>
  <c r="B79" i="3"/>
  <c r="C85" i="3"/>
  <c r="B85" i="3"/>
  <c r="B77" i="3"/>
  <c r="B69" i="3"/>
  <c r="C83" i="3"/>
  <c r="B74" i="3"/>
  <c r="B73" i="3"/>
  <c r="B80" i="3"/>
  <c r="B64" i="3"/>
  <c r="B71" i="3"/>
  <c r="B84" i="3"/>
  <c r="B76" i="3"/>
  <c r="B68" i="3"/>
  <c r="C82" i="3"/>
  <c r="E90" i="3"/>
  <c r="E89" i="3"/>
  <c r="E88" i="3"/>
  <c r="E87" i="3"/>
  <c r="E86" i="3"/>
  <c r="E93" i="3"/>
  <c r="E92" i="3"/>
  <c r="E91" i="3"/>
  <c r="E76" i="3"/>
  <c r="E68" i="3"/>
  <c r="E60" i="3"/>
  <c r="E52" i="3"/>
  <c r="E44" i="3"/>
  <c r="E36" i="3"/>
  <c r="E28" i="3"/>
  <c r="E20" i="3"/>
  <c r="E83" i="3"/>
  <c r="E75" i="3"/>
  <c r="E67" i="3"/>
  <c r="E59" i="3"/>
  <c r="E51" i="3"/>
  <c r="E43" i="3"/>
  <c r="E35" i="3"/>
  <c r="E27" i="3"/>
  <c r="E19" i="3"/>
  <c r="E11" i="3"/>
  <c r="E3" i="3"/>
  <c r="E77" i="3"/>
  <c r="E53" i="3"/>
  <c r="E29" i="3"/>
  <c r="E13" i="3"/>
  <c r="E12" i="3"/>
  <c r="E74" i="3"/>
  <c r="E66" i="3"/>
  <c r="E58" i="3"/>
  <c r="E50" i="3"/>
  <c r="E42" i="3"/>
  <c r="E34" i="3"/>
  <c r="E26" i="3"/>
  <c r="E18" i="3"/>
  <c r="E81" i="3"/>
  <c r="E73" i="3"/>
  <c r="E65" i="3"/>
  <c r="E57" i="3"/>
  <c r="E49" i="3"/>
  <c r="E41" i="3"/>
  <c r="E33" i="3"/>
  <c r="E25" i="3"/>
  <c r="E17" i="3"/>
  <c r="E9" i="3"/>
  <c r="E85" i="3"/>
  <c r="E69" i="3"/>
  <c r="E61" i="3"/>
  <c r="E37" i="3"/>
  <c r="E21" i="3"/>
  <c r="E5" i="3"/>
  <c r="E84" i="3"/>
  <c r="E82" i="3"/>
  <c r="E80" i="3"/>
  <c r="E72" i="3"/>
  <c r="E64" i="3"/>
  <c r="E56" i="3"/>
  <c r="E48" i="3"/>
  <c r="E40" i="3"/>
  <c r="E32" i="3"/>
  <c r="E24" i="3"/>
  <c r="E16" i="3"/>
  <c r="E8" i="3"/>
  <c r="E45" i="3"/>
  <c r="E79" i="3"/>
  <c r="E71" i="3"/>
  <c r="E63" i="3"/>
  <c r="E55" i="3"/>
  <c r="E47" i="3"/>
  <c r="E39" i="3"/>
  <c r="E31" i="3"/>
  <c r="E23" i="3"/>
  <c r="E15" i="3"/>
  <c r="E7" i="3"/>
  <c r="E4" i="3"/>
  <c r="E10" i="3"/>
  <c r="E78" i="3"/>
  <c r="E70" i="3"/>
  <c r="E62" i="3"/>
  <c r="E54" i="3"/>
  <c r="E46" i="3"/>
  <c r="E38" i="3"/>
  <c r="E30" i="3"/>
  <c r="E22" i="3"/>
  <c r="E14" i="3"/>
  <c r="E6" i="3"/>
  <c r="C10" i="3"/>
  <c r="C18" i="3"/>
  <c r="C26" i="3"/>
  <c r="C34" i="3"/>
  <c r="C42" i="3"/>
  <c r="C50" i="3"/>
  <c r="C58" i="3"/>
  <c r="C66" i="3"/>
  <c r="C74" i="3"/>
  <c r="B9" i="3"/>
  <c r="B17" i="3"/>
  <c r="C3" i="3"/>
  <c r="C11" i="3"/>
  <c r="C19" i="3"/>
  <c r="C27" i="3"/>
  <c r="C35" i="3"/>
  <c r="C43" i="3"/>
  <c r="C51" i="3"/>
  <c r="C59" i="3"/>
  <c r="C67" i="3"/>
  <c r="C75" i="3"/>
  <c r="B10" i="3"/>
  <c r="B18" i="3"/>
  <c r="B26" i="3"/>
  <c r="B34" i="3"/>
  <c r="B42" i="3"/>
  <c r="B50" i="3"/>
  <c r="B58" i="3"/>
  <c r="C4" i="3"/>
  <c r="C12" i="3"/>
  <c r="C20" i="3"/>
  <c r="C28" i="3"/>
  <c r="C36" i="3"/>
  <c r="C44" i="3"/>
  <c r="C52" i="3"/>
  <c r="C60" i="3"/>
  <c r="C68" i="3"/>
  <c r="C76" i="3"/>
  <c r="B3" i="3"/>
  <c r="B11" i="3"/>
  <c r="B19" i="3"/>
  <c r="B27" i="3"/>
  <c r="B35" i="3"/>
  <c r="B43" i="3"/>
  <c r="B51" i="3"/>
  <c r="B59" i="3"/>
  <c r="C5" i="3"/>
  <c r="C13" i="3"/>
  <c r="C21" i="3"/>
  <c r="C29" i="3"/>
  <c r="C37" i="3"/>
  <c r="C45" i="3"/>
  <c r="C53" i="3"/>
  <c r="C61" i="3"/>
  <c r="C69" i="3"/>
  <c r="C77" i="3"/>
  <c r="B4" i="3"/>
  <c r="B12" i="3"/>
  <c r="B20" i="3"/>
  <c r="B28" i="3"/>
  <c r="B36" i="3"/>
  <c r="B44" i="3"/>
  <c r="B52" i="3"/>
  <c r="B60" i="3"/>
  <c r="C6" i="3"/>
  <c r="C14" i="3"/>
  <c r="C22" i="3"/>
  <c r="C30" i="3"/>
  <c r="C38" i="3"/>
  <c r="C46" i="3"/>
  <c r="C54" i="3"/>
  <c r="C62" i="3"/>
  <c r="C8" i="3"/>
  <c r="C16" i="3"/>
  <c r="C24" i="3"/>
  <c r="C32" i="3"/>
  <c r="C40" i="3"/>
  <c r="C48" i="3"/>
  <c r="C56" i="3"/>
  <c r="C64" i="3"/>
  <c r="C72" i="3"/>
  <c r="C80" i="3"/>
  <c r="B7" i="3"/>
  <c r="B15" i="3"/>
  <c r="B23" i="3"/>
  <c r="B31" i="3"/>
  <c r="B39" i="3"/>
  <c r="B47" i="3"/>
  <c r="B55" i="3"/>
  <c r="B54" i="3"/>
  <c r="B38" i="3"/>
  <c r="B22" i="3"/>
  <c r="C71" i="3"/>
  <c r="C41" i="3"/>
  <c r="C9" i="3"/>
  <c r="B21" i="3"/>
  <c r="B48" i="3"/>
  <c r="B30" i="3"/>
  <c r="C57" i="3"/>
  <c r="B45" i="3"/>
  <c r="B29" i="3"/>
  <c r="B8" i="3"/>
  <c r="C79" i="3"/>
  <c r="C55" i="3"/>
  <c r="C23" i="3"/>
  <c r="B53" i="3"/>
  <c r="C70" i="3"/>
  <c r="C7" i="3"/>
  <c r="B33" i="3"/>
  <c r="C65" i="3"/>
  <c r="B63" i="3"/>
  <c r="B14" i="3"/>
  <c r="C31" i="3"/>
  <c r="B46" i="3"/>
  <c r="B13" i="3"/>
  <c r="C25" i="3"/>
  <c r="B61" i="3"/>
  <c r="B57" i="3"/>
  <c r="B41" i="3"/>
  <c r="B25" i="3"/>
  <c r="B6" i="3"/>
  <c r="C78" i="3"/>
  <c r="C49" i="3"/>
  <c r="C17" i="3"/>
  <c r="B37" i="3"/>
  <c r="C39" i="3"/>
  <c r="B49" i="3"/>
  <c r="B16" i="3"/>
  <c r="C33" i="3"/>
  <c r="B32" i="3"/>
  <c r="C63" i="3"/>
  <c r="B62" i="3"/>
  <c r="C81" i="3"/>
  <c r="B56" i="3"/>
  <c r="B40" i="3"/>
  <c r="B24" i="3"/>
  <c r="B5" i="3"/>
  <c r="C73" i="3"/>
  <c r="C47" i="3"/>
  <c r="C15" i="3"/>
  <c r="F81" i="3" l="1"/>
  <c r="D81" i="3"/>
  <c r="D73" i="3"/>
  <c r="F73" i="3"/>
  <c r="F84" i="3"/>
  <c r="D84" i="3"/>
  <c r="F68" i="3"/>
  <c r="D68" i="3"/>
  <c r="D69" i="3"/>
  <c r="F69" i="3"/>
  <c r="F82" i="3"/>
  <c r="D82" i="3"/>
  <c r="F71" i="3"/>
  <c r="D71" i="3"/>
  <c r="F72" i="3"/>
  <c r="D72" i="3"/>
  <c r="F75" i="3"/>
  <c r="D75" i="3"/>
  <c r="F76" i="3"/>
  <c r="D76" i="3"/>
  <c r="F77" i="3"/>
  <c r="D77" i="3"/>
  <c r="D70" i="3"/>
  <c r="F70" i="3"/>
  <c r="F79" i="3"/>
  <c r="D79" i="3"/>
  <c r="F80" i="3"/>
  <c r="D80" i="3"/>
  <c r="F78" i="3"/>
  <c r="D78" i="3"/>
  <c r="F83" i="3"/>
  <c r="D83" i="3"/>
  <c r="D74" i="3"/>
  <c r="F74" i="3"/>
  <c r="D85" i="3"/>
  <c r="F85" i="3"/>
  <c r="F67" i="3"/>
  <c r="D67" i="3"/>
  <c r="D39" i="3"/>
  <c r="F39" i="3"/>
  <c r="F45" i="3"/>
  <c r="D45" i="3"/>
  <c r="D31" i="3"/>
  <c r="F31" i="3"/>
  <c r="F52" i="3"/>
  <c r="D52" i="3"/>
  <c r="F11" i="3"/>
  <c r="D11" i="3"/>
  <c r="F34" i="3"/>
  <c r="D34" i="3"/>
  <c r="D9" i="3"/>
  <c r="F9" i="3"/>
  <c r="F66" i="3"/>
  <c r="D66" i="3"/>
  <c r="D55" i="3"/>
  <c r="F55" i="3"/>
  <c r="D58" i="3"/>
  <c r="F58" i="3"/>
  <c r="D17" i="3"/>
  <c r="F17" i="3"/>
  <c r="D32" i="3"/>
  <c r="F32" i="3"/>
  <c r="F13" i="3"/>
  <c r="D13" i="3"/>
  <c r="D23" i="3"/>
  <c r="F23" i="3"/>
  <c r="F44" i="3"/>
  <c r="D44" i="3"/>
  <c r="F3" i="3"/>
  <c r="D3" i="3"/>
  <c r="F26" i="3"/>
  <c r="D26" i="3"/>
  <c r="D65" i="3"/>
  <c r="F65" i="3"/>
  <c r="F60" i="3"/>
  <c r="D60" i="3"/>
  <c r="F19" i="3"/>
  <c r="D19" i="3"/>
  <c r="D42" i="3"/>
  <c r="F42" i="3"/>
  <c r="F5" i="3"/>
  <c r="D5" i="3"/>
  <c r="D46" i="3"/>
  <c r="F46" i="3"/>
  <c r="D53" i="3"/>
  <c r="F53" i="3"/>
  <c r="D30" i="3"/>
  <c r="F30" i="3"/>
  <c r="F22" i="3"/>
  <c r="D22" i="3"/>
  <c r="D15" i="3"/>
  <c r="F15" i="3"/>
  <c r="F36" i="3"/>
  <c r="D36" i="3"/>
  <c r="F59" i="3"/>
  <c r="D59" i="3"/>
  <c r="D18" i="3"/>
  <c r="F18" i="3"/>
  <c r="F51" i="3"/>
  <c r="D51" i="3"/>
  <c r="D10" i="3"/>
  <c r="F10" i="3"/>
  <c r="D40" i="3"/>
  <c r="F40" i="3"/>
  <c r="D49" i="3"/>
  <c r="F49" i="3"/>
  <c r="D25" i="3"/>
  <c r="F25" i="3"/>
  <c r="D14" i="3"/>
  <c r="F14" i="3"/>
  <c r="D48" i="3"/>
  <c r="F48" i="3"/>
  <c r="D54" i="3"/>
  <c r="F54" i="3"/>
  <c r="F20" i="3"/>
  <c r="D20" i="3"/>
  <c r="F43" i="3"/>
  <c r="D43" i="3"/>
  <c r="D16" i="3"/>
  <c r="F16" i="3"/>
  <c r="D7" i="3"/>
  <c r="F7" i="3"/>
  <c r="F28" i="3"/>
  <c r="D28" i="3"/>
  <c r="D63" i="3"/>
  <c r="F63" i="3"/>
  <c r="F12" i="3"/>
  <c r="D12" i="3"/>
  <c r="F57" i="3"/>
  <c r="D57" i="3"/>
  <c r="D8" i="3"/>
  <c r="F8" i="3"/>
  <c r="F21" i="3"/>
  <c r="D21" i="3"/>
  <c r="D47" i="3"/>
  <c r="F47" i="3"/>
  <c r="F4" i="3"/>
  <c r="D4" i="3"/>
  <c r="F27" i="3"/>
  <c r="D27" i="3"/>
  <c r="F50" i="3"/>
  <c r="D50" i="3"/>
  <c r="D64" i="3"/>
  <c r="F64" i="3"/>
  <c r="D24" i="3"/>
  <c r="F24" i="3"/>
  <c r="D6" i="3"/>
  <c r="F6" i="3"/>
  <c r="F38" i="3"/>
  <c r="D38" i="3"/>
  <c r="D56" i="3"/>
  <c r="F56" i="3"/>
  <c r="D41" i="3"/>
  <c r="F41" i="3"/>
  <c r="F35" i="3"/>
  <c r="D35" i="3"/>
  <c r="F62" i="3"/>
  <c r="D62" i="3"/>
  <c r="F37" i="3"/>
  <c r="D37" i="3"/>
  <c r="F61" i="3"/>
  <c r="D61" i="3"/>
  <c r="F33" i="3"/>
  <c r="D33" i="3"/>
  <c r="D29" i="3"/>
  <c r="F29" i="3"/>
  <c r="C2" i="3"/>
  <c r="B2" i="3"/>
  <c r="F2" i="3" l="1"/>
  <c r="D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<sst xmlns="http://schemas.openxmlformats.org/spreadsheetml/2006/main" count="1234" uniqueCount="234">
  <si>
    <t>id</t>
  </si>
  <si>
    <t>Appearance cannot be modified</t>
  </si>
  <si>
    <t>conformance-aaa</t>
  </si>
  <si>
    <t>This publication exceeds accepted accessibility standards</t>
  </si>
  <si>
    <t>conformance-aa</t>
  </si>
  <si>
    <t>This publication meets accepted accessibility standards</t>
  </si>
  <si>
    <t>conformance-a</t>
  </si>
  <si>
    <t>This publication meets minimum accessibility standards</t>
  </si>
  <si>
    <t>Conformance to accepted standards for accessibility of this publication cannot be determined</t>
  </si>
  <si>
    <t>conformance-no</t>
  </si>
  <si>
    <t>conformance-certifier</t>
  </si>
  <si>
    <t>conformance-certifier-credentials</t>
  </si>
  <si>
    <t>The certifier's credential is</t>
  </si>
  <si>
    <t>This publication claims to meet</t>
  </si>
  <si>
    <t>EPUB Accessibility 1.0</t>
  </si>
  <si>
    <t>EPUB Accessibility 1.1</t>
  </si>
  <si>
    <t>WCAG 2.2</t>
  </si>
  <si>
    <t>WCAG 2.1</t>
  </si>
  <si>
    <t>WCAG 2.0</t>
  </si>
  <si>
    <t>Level AAA</t>
  </si>
  <si>
    <t>Level AA</t>
  </si>
  <si>
    <t>Level A</t>
  </si>
  <si>
    <t>navigation-toc</t>
  </si>
  <si>
    <t>navigation-index</t>
  </si>
  <si>
    <t>navigation-page-navigation</t>
  </si>
  <si>
    <t>navigation-structural</t>
  </si>
  <si>
    <t>navigation-no-metadata</t>
  </si>
  <si>
    <t>hazards-none</t>
  </si>
  <si>
    <t>No hazards</t>
  </si>
  <si>
    <t>hazards-flashing</t>
  </si>
  <si>
    <t>hazards-motion</t>
  </si>
  <si>
    <t>hazards-sound</t>
  </si>
  <si>
    <t>hazards-unknown</t>
  </si>
  <si>
    <t>hazards-no-metadata</t>
  </si>
  <si>
    <t>accessibility-summary-no-metadata</t>
  </si>
  <si>
    <t>legal-considerations-no-metadata</t>
  </si>
  <si>
    <t>Appearance can be modified</t>
  </si>
  <si>
    <t>/strings</t>
  </si>
  <si>
    <t>/strings[xmlns:xhtml]</t>
  </si>
  <si>
    <t>/strings/string</t>
  </si>
  <si>
    <t>/strings/string/id</t>
  </si>
  <si>
    <t>/strings/string/value</t>
  </si>
  <si>
    <t>http://www.w3.org/1999/xhtml</t>
  </si>
  <si>
    <t/>
  </si>
  <si>
    <t>conformance-title</t>
  </si>
  <si>
    <t>Conformance</t>
  </si>
  <si>
    <t>navigation-title</t>
  </si>
  <si>
    <t>Navigation</t>
  </si>
  <si>
    <t>hazards-title</t>
  </si>
  <si>
    <t>Hazards</t>
  </si>
  <si>
    <t>accessibility-summary-title</t>
  </si>
  <si>
    <t>Accessibility summary</t>
  </si>
  <si>
    <t>additional-accessibility-information-title</t>
  </si>
  <si>
    <t>Additional accessibility information</t>
  </si>
  <si>
    <t>Web Accessibility Content Guidelines (WCAG) 2.1</t>
  </si>
  <si>
    <t>/strings/string/mode</t>
  </si>
  <si>
    <t>descriptive</t>
  </si>
  <si>
    <t>compact</t>
  </si>
  <si>
    <t>legal-considerations-title</t>
  </si>
  <si>
    <t>Legal considerations</t>
  </si>
  <si>
    <t>conformance-unknown-standard</t>
  </si>
  <si>
    <t>key</t>
  </si>
  <si>
    <t>string in EPUB metadata</t>
  </si>
  <si>
    <t>string in ONIX</t>
  </si>
  <si>
    <t>string in principles (compact)</t>
  </si>
  <si>
    <t>EPUB string equals to principles?</t>
  </si>
  <si>
    <t>ONIX string equals to principles?</t>
  </si>
  <si>
    <t>Appearance of the text and page layout can be modified according to the capabilities of the reading system (font family and font size, spaces between paragraphs, sentences, words, and letters, as well as color of background and text)</t>
  </si>
  <si>
    <t>Text and page layout cannot be modified as the reading experience is close to a print version, but reading systems can still provide zooming options</t>
  </si>
  <si>
    <t>The publication contains a conformance statement that it meets the EPUB Accessibility and WCAG 2 Level AAA standard</t>
  </si>
  <si>
    <t>The publication contains a conformance statement that it meets the EPUB Accessibility and WCAG 2 Level AA standard</t>
  </si>
  <si>
    <t>The publication contains a conformance statement that it meets the EPUB Accessibility and WCAG 2 Level A standard</t>
  </si>
  <si>
    <t>Audiobook with no text alternative</t>
  </si>
  <si>
    <t>The presence of hazards is unknown</t>
  </si>
  <si>
    <t>For more information refer to the certifier's report</t>
  </si>
  <si>
    <t>No information is available</t>
  </si>
  <si>
    <t>All content can be read as read aloud speech or dynamic braille</t>
  </si>
  <si>
    <t>Not all of the content will be readable as read aloud speech or dynamic braille</t>
  </si>
  <si>
    <t>Readable in read aloud or dynamic braille</t>
  </si>
  <si>
    <t>Not fully readable in read aloud or dynamic braille</t>
  </si>
  <si>
    <t>The publication was certified by</t>
  </si>
  <si>
    <t>Detailed conformance information</t>
  </si>
  <si>
    <t>The publication was certified on</t>
  </si>
  <si>
    <t>All the content is available as prerecorded audio synchronized with text</t>
  </si>
  <si>
    <t>Prerecorded audio synchronized with text</t>
  </si>
  <si>
    <t>Table of contents to all chapters of the text via links</t>
  </si>
  <si>
    <t>Index with links to referenced entries</t>
  </si>
  <si>
    <t>Elements such as headings, tables, etc for structured navigation</t>
  </si>
  <si>
    <t>Page list to go to pages from the print source version</t>
  </si>
  <si>
    <t>Table of contents</t>
  </si>
  <si>
    <t>Index</t>
  </si>
  <si>
    <t>Headings</t>
  </si>
  <si>
    <t>Go to page</t>
  </si>
  <si>
    <t>Rich content</t>
  </si>
  <si>
    <t>rich-content-unknown</t>
  </si>
  <si>
    <t>rich-content-accessible-math-as-mathml</t>
  </si>
  <si>
    <t>Math formulas in accessible format (MathML)</t>
  </si>
  <si>
    <t>rich-content-accessible-math-as-latex</t>
  </si>
  <si>
    <t>rich-content-accessible-math-described</t>
  </si>
  <si>
    <t>rich-content-accessible-chemistry-as-mathml</t>
  </si>
  <si>
    <t>Chemical formulas in accessible format (MathML)</t>
  </si>
  <si>
    <t>rich-content-accessible-chemistry-as-latex</t>
  </si>
  <si>
    <t>rich-content-extended</t>
  </si>
  <si>
    <t>Information-rich images are described by extended descriptions</t>
  </si>
  <si>
    <t>Videos included in publications have closed captions</t>
  </si>
  <si>
    <t>Videos included in publications have open captions</t>
  </si>
  <si>
    <t>Math as MathML</t>
  </si>
  <si>
    <t>Chemical formulas in MathML</t>
  </si>
  <si>
    <t>Videos have closed captions</t>
  </si>
  <si>
    <t>Videos have open captions</t>
  </si>
  <si>
    <t>The publication contains motion simulations that can cause motion sickness</t>
  </si>
  <si>
    <t>Flashing content</t>
  </si>
  <si>
    <t>Motion simulation</t>
  </si>
  <si>
    <t>legal-considerations-exempt</t>
  </si>
  <si>
    <t>This publication claims an accessibility exemption in some jurisdictions</t>
  </si>
  <si>
    <t>rich-content-title</t>
  </si>
  <si>
    <t>rich-content-closed-captions</t>
  </si>
  <si>
    <t>rich-content-open-captions</t>
  </si>
  <si>
    <t>rich-content-transcript</t>
  </si>
  <si>
    <t>Dyslexia readability</t>
  </si>
  <si>
    <t>Sign language</t>
  </si>
  <si>
    <t>Text-to-speech hinting provided</t>
  </si>
  <si>
    <t>Color is not the sole means of conveying information</t>
  </si>
  <si>
    <t>High contrast between text and background</t>
  </si>
  <si>
    <t>Ultra high contrast between text and background</t>
  </si>
  <si>
    <t>Visible page numbering</t>
  </si>
  <si>
    <t>High contrast between foreground and background audio</t>
  </si>
  <si>
    <t>Without background sounds</t>
  </si>
  <si>
    <t>Claims an accessibility exemption in some jurisdictions</t>
  </si>
  <si>
    <t>Audio descriptions</t>
  </si>
  <si>
    <t>Full ruby annotations</t>
  </si>
  <si>
    <t>High contrast between foreground text and background</t>
  </si>
  <si>
    <t>Large print</t>
  </si>
  <si>
    <t>ways-of-reading-title</t>
  </si>
  <si>
    <t>Ways of reading</t>
  </si>
  <si>
    <t>ways-of-reading-visual-adjustments-modifiable</t>
  </si>
  <si>
    <t>ways-of-reading-visual-adjustments-unmodifiable</t>
  </si>
  <si>
    <t>ways-of-reading-visual-adjustments-unknown</t>
  </si>
  <si>
    <t>No information about appearance modifiability is available</t>
  </si>
  <si>
    <t>ways-of-reading-nonvisual-reading-alt-text</t>
  </si>
  <si>
    <t>Has alternative text descriptions for images</t>
  </si>
  <si>
    <t>ways-of-reading-nonvisual-reading-readable</t>
  </si>
  <si>
    <t>ways-of-reading-nonvisual-reading-not-fully</t>
  </si>
  <si>
    <t>Has alternative text</t>
  </si>
  <si>
    <t>ways-of-reading-prerecorded-audio-only</t>
  </si>
  <si>
    <t>ways-of-reading-prerecorded-audio-synchronized</t>
  </si>
  <si>
    <t>ways-of-reading-prerecorded-audio-complementary</t>
  </si>
  <si>
    <t>ways-of-reading-prerecorded-audio-no-metadata</t>
  </si>
  <si>
    <t>No information about prerecorded audio is available</t>
  </si>
  <si>
    <t>Math formulas in accessible format (LaTeX)</t>
  </si>
  <si>
    <t>Chemical formulas in accessible format (LaTeX)</t>
  </si>
  <si>
    <t>Math as LaTeX</t>
  </si>
  <si>
    <t>Chemical formulas in LaTeX</t>
  </si>
  <si>
    <t>Prerecorded audio only</t>
  </si>
  <si>
    <t>Braille</t>
  </si>
  <si>
    <t>Tactile 3D objects</t>
  </si>
  <si>
    <t>Text descriptions of math are provided</t>
  </si>
  <si>
    <t>Transcript(s) provided</t>
  </si>
  <si>
    <t>Sounds</t>
  </si>
  <si>
    <t>The publication contains no hazards</t>
  </si>
  <si>
    <t>The publication contains a conformance statement that it meets the EPUB Accessibility and WCAG 2 Level AA standard.</t>
  </si>
  <si>
    <t>ARIA roles included</t>
  </si>
  <si>
    <t>Content is enhanced with ARIA roles to optimize organization and facilitate navigation</t>
  </si>
  <si>
    <t>Page breaks included</t>
  </si>
  <si>
    <t>Page breaks included from the original print source</t>
  </si>
  <si>
    <t>Tactile graphics included</t>
  </si>
  <si>
    <t>Tactile graphics have been integrated to facilitate access to visual elements for blind people</t>
  </si>
  <si>
    <t>additional-accessibility-information-color-not-sole-means-of-conveying-information</t>
  </si>
  <si>
    <t>additional-accessibility-information-dyslexia-readability</t>
  </si>
  <si>
    <t>additional-accessibility-information-high-contrast-between-foreground-and-background-audio</t>
  </si>
  <si>
    <t>additional-accessibility-information-high-contrast-between-text-and-background</t>
  </si>
  <si>
    <t>additional-accessibility-information-sign-language</t>
  </si>
  <si>
    <t>additional-accessibility-information-text-to-speech-hinting</t>
  </si>
  <si>
    <t>additional-accessibility-information-ultra-high-contrast-between-text-and-background</t>
  </si>
  <si>
    <t>additional-accessibility-information-visible-page-numbering</t>
  </si>
  <si>
    <t>additional-accessibility-information-without-background-sounds</t>
  </si>
  <si>
    <t>additional-accessibility-information-page-breaks</t>
  </si>
  <si>
    <t>additional-accessibility-information-aria</t>
  </si>
  <si>
    <t>additional-accessibility-information-audio-descriptions</t>
  </si>
  <si>
    <t>additional-accessibility-information-braille</t>
  </si>
  <si>
    <t>additional-accessibility-information-full-ruby-annotations</t>
  </si>
  <si>
    <t>additional-accessibility-information-large-print</t>
  </si>
  <si>
    <t>additional-accessibility-information-ruby-annotations</t>
  </si>
  <si>
    <t>additional-accessibility-information-tactile-graphics</t>
  </si>
  <si>
    <t>additional-accessibility-information-tactile-objects</t>
  </si>
  <si>
    <t>ways-of-reading-nonvisual-reading-none</t>
  </si>
  <si>
    <t>Not readable in read aloud or dynamic braille</t>
  </si>
  <si>
    <t>The content is not readable as read aloud speech or dynamic braille</t>
  </si>
  <si>
    <t>ways-of-reading-nonvisual-reading-no-metadata</t>
  </si>
  <si>
    <t>No information about nonvisual reading is available</t>
  </si>
  <si>
    <t>Prerecorded audio clips</t>
  </si>
  <si>
    <t>Prerecorded audio clips are embedded in the content</t>
  </si>
  <si>
    <t>conformance-details-title</t>
  </si>
  <si>
    <t>conformance-details-claim</t>
  </si>
  <si>
    <t>conformance-details-epub-accessibility-1-1</t>
  </si>
  <si>
    <t>conformance-details-wcag-2-1</t>
  </si>
  <si>
    <t>conformance-details-level-aa</t>
  </si>
  <si>
    <t>conformance-details-certification-info</t>
  </si>
  <si>
    <t>conformance-details-certifier-report</t>
  </si>
  <si>
    <t>conformance-details-epub-accessibility-1-0</t>
  </si>
  <si>
    <t>conformance-details-wcag-2-2</t>
  </si>
  <si>
    <t>conformance-details-wcag-2-0</t>
  </si>
  <si>
    <t>conformance-details-level-aaa</t>
  </si>
  <si>
    <t>conformance-details-level-a</t>
  </si>
  <si>
    <t>hazards-flashing-unknown</t>
  </si>
  <si>
    <t>Flashing hazards not known</t>
  </si>
  <si>
    <t>hazards-motion-unknown</t>
  </si>
  <si>
    <t>Motion simulation hazards not known</t>
  </si>
  <si>
    <t>hazards-sound-unknown</t>
  </si>
  <si>
    <t>Sound hazards not known</t>
  </si>
  <si>
    <t>hazards-flashing-none</t>
  </si>
  <si>
    <t>No flashing hazards</t>
  </si>
  <si>
    <t>hazards-motion-none</t>
  </si>
  <si>
    <t>No motion simulation hazards</t>
  </si>
  <si>
    <t>hazards-sound-none</t>
  </si>
  <si>
    <t>No sound hazards</t>
  </si>
  <si>
    <t>accessibility-summary-publisher-contact</t>
  </si>
  <si>
    <t>Web Content Accessibility Guidelines (WCAG) 2.0</t>
  </si>
  <si>
    <t>Web Content Accessibility Guidelines (WCAG) 2.1</t>
  </si>
  <si>
    <t>Web Content Accessibility Guidelines (WCAG) 2.2</t>
  </si>
  <si>
    <t>The publication contains flashing content that can cause photosensitive seizures</t>
  </si>
  <si>
    <t>The publication does not contain flashing content that can cause photosensitive seizures</t>
  </si>
  <si>
    <t>The presence of flashing content that can cause photosensitive seizures could not be determined</t>
  </si>
  <si>
    <t>The publication does not contain motion simulations that can cause motion sickness</t>
  </si>
  <si>
    <t>The presence of motion simulations that can cause motion sickness could not be determined</t>
  </si>
  <si>
    <t>The publication contains sounds that can cause sensitivity issues</t>
  </si>
  <si>
    <t>The publication does not contain sounds that can cause sensitivity issues</t>
  </si>
  <si>
    <t>The presence of sounds that can cause sensitivity issues could not be determined</t>
  </si>
  <si>
    <t>The publication was certified by {certifier}</t>
  </si>
  <si>
    <t>The certifier's credential is {certifier_credentials}</t>
  </si>
  <si>
    <t>This publication claims to meet {epub_accessibility} {wcag_version} {wcag_level}</t>
  </si>
  <si>
    <t>The publication was certified on {certification_date}</t>
  </si>
  <si>
    <t>For more information about the accessibility of this product, please contact the publisher: {publisher_contact_for_accessibility}</t>
  </si>
  <si>
    <t>Some ruby annotations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</si>
</sst>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b/>
      <sz val="12"/>
      <color theme="0"/>
      <name val="Aptos Narrow"/>
      <scheme val="minor"/>
    </font>
  </fonts>
  <fills count="4">
    <fill>
      <patternFill patternType="none"/>
    </fill>
    <fill>
      <patternFill patternType="gray125"/>
    </fill>
    <fill>
      <patternFill patternType="solid">
        <fgColor theme="5" tint="0.79998168889431442"/>
        <bgColor indexed="64"/>
      </patternFill>
    </fill>
    <fill>
      <patternFill patternType="solid">
        <fgColor theme="5"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0" fillId="0" borderId="0" xfId="0" applyAlignment="1">
      <alignment horizontal="center"/>
    </xf>
    <xf numFmtId="0" fontId="0" fillId="2" borderId="0" xfId="0" applyFill="1"/>
    <xf numFmtId="0" fontId="2" fillId="3" borderId="0" xfId="0" applyFont="1" applyFill="1"/>
    <xf numFmtId="0" fontId="0" fillId="0" borderId="0" xfId="0" applyAlignment="1">
      <alignment horizontal="left"/>
    </xf>
    <xf numFmtId="0" fontId="1" fillId="0" borderId="0" xfId="0" applyFont="1"/>
  </cellXfs>
  <cellStyles count="1">
    <cellStyle name="Normale" xfId="0" builtinId="0"/>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EDDE9-AF31-2D43-AC52-4CD1D03679BB}">
  <dimension ref="A1:F127"/>
  <sheetViews>
    <sheetView tabSelected="1" workbookViewId="0">
      <pane xSplit="1" ySplit="1" topLeftCell="B2" activePane="bottomRight" state="frozen"/>
      <selection pane="topRight" activeCell="B1" sqref="B1"/>
      <selection pane="bottomLeft" activeCell="A2" sqref="A2"/>
      <selection pane="bottomRight" activeCell="E69" sqref="E69"/>
    </sheetView>
  </sheetViews>
  <sheetFormatPr baseColWidth="10" defaultRowHeight="16" x14ac:dyDescent="0.2"/>
  <cols>
    <col min="1" max="3" width="50.83203125" customWidth="1"/>
    <col min="4" max="4" width="15.83203125" customWidth="1"/>
    <col min="5" max="5" width="50.83203125" customWidth="1"/>
    <col min="6" max="6" width="15.83203125" customWidth="1"/>
  </cols>
  <sheetData>
    <row r="1" spans="1:6" ht="51" x14ac:dyDescent="0.2">
      <c r="A1" s="6" t="s">
        <v>0</v>
      </c>
      <c r="B1" s="1" t="s">
        <v>64</v>
      </c>
      <c r="C1" s="1" t="s">
        <v>62</v>
      </c>
      <c r="D1" s="1" t="s">
        <v>65</v>
      </c>
      <c r="E1" s="1" t="s">
        <v>63</v>
      </c>
      <c r="F1" s="1" t="s">
        <v>66</v>
      </c>
    </row>
    <row r="2" spans="1:6" x14ac:dyDescent="0.2">
      <c r="A2" t="str" cm="1">
        <f t="array" ref="A2:A89">_xlfn.UNIQUE(_xlfn.VSTACK('guidelines-string'!$E$2:$E$191,'epub-metadata-strings'!$D$2:$D$82,'onix-metadata-strings'!$D$2:$D$79))</f>
        <v>ways-of-reading-title</v>
      </c>
      <c r="B2" s="5" t="str">
        <f>IFERROR(VLOOKUP($A2&amp;"-compact",'guidelines-string'!$A$2:$G$1000,7,FALSE),"")</f>
        <v>Ways of reading</v>
      </c>
      <c r="C2" s="5" t="str">
        <f>IFERROR(VLOOKUP($A2,'epub-metadata-strings'!$D$2:$E$978,2,FALSE),"")</f>
        <v>Ways of reading</v>
      </c>
      <c r="D2" s="2" t="b">
        <f>IF($B2="","",EXACT($B2,C2))</f>
        <v>1</v>
      </c>
      <c r="E2" s="5" t="str">
        <f>IFERROR(VLOOKUP($A2,'onix-metadata-strings'!$D$2:$E$982,2,FALSE),"")</f>
        <v>Ways of reading</v>
      </c>
      <c r="F2" s="2" t="b">
        <f>IF($B2="","",EXACT($B2,E2))</f>
        <v>1</v>
      </c>
    </row>
    <row r="3" spans="1:6" x14ac:dyDescent="0.2">
      <c r="A3" t="str">
        <v>ways-of-reading-visual-adjustments-modifiable</v>
      </c>
      <c r="B3" s="5" t="str">
        <f>IFERROR(VLOOKUP($A3&amp;"-compact",'guidelines-string'!$A$2:$G$1000,7,FALSE),"")</f>
        <v>Appearance can be modified</v>
      </c>
      <c r="C3" s="5" t="str">
        <f>IFERROR(VLOOKUP($A3,'epub-metadata-strings'!$D$2:$E$978,2,FALSE),"")</f>
        <v>Appearance can be modified</v>
      </c>
      <c r="D3" s="2" t="b">
        <f t="shared" ref="D3:D67" si="0">IF($B3="","",EXACT($B3,C3))</f>
        <v>1</v>
      </c>
      <c r="E3" s="5" t="str">
        <f>IFERROR(VLOOKUP($A3,'onix-metadata-strings'!$D$2:$E$982,2,FALSE),"")</f>
        <v>Appearance can be modified</v>
      </c>
      <c r="F3" s="2" t="b">
        <f t="shared" ref="F3:F67" si="1">IF($B3="","",EXACT($B3,E3))</f>
        <v>1</v>
      </c>
    </row>
    <row r="4" spans="1:6" x14ac:dyDescent="0.2">
      <c r="A4" t="str">
        <v>ways-of-reading-visual-adjustments-unmodifiable</v>
      </c>
      <c r="B4" s="5" t="str">
        <f>IFERROR(VLOOKUP($A4&amp;"-compact",'guidelines-string'!$A$2:$G$1000,7,FALSE),"")</f>
        <v>Appearance cannot be modified</v>
      </c>
      <c r="C4" s="5" t="str">
        <f>IFERROR(VLOOKUP($A4,'epub-metadata-strings'!$D$2:$E$978,2,FALSE),"")</f>
        <v>Appearance cannot be modified</v>
      </c>
      <c r="D4" s="2" t="b">
        <f t="shared" si="0"/>
        <v>1</v>
      </c>
      <c r="E4" s="5" t="str">
        <f>IFERROR(VLOOKUP($A4,'onix-metadata-strings'!$D$2:$E$982,2,FALSE),"")</f>
        <v>Appearance cannot be modified</v>
      </c>
      <c r="F4" s="2" t="b">
        <f t="shared" si="1"/>
        <v>1</v>
      </c>
    </row>
    <row r="5" spans="1:6" x14ac:dyDescent="0.2">
      <c r="A5" t="str">
        <v>ways-of-reading-visual-adjustments-unknown</v>
      </c>
      <c r="B5" s="5" t="str">
        <f>IFERROR(VLOOKUP($A5&amp;"-compact",'guidelines-string'!$A$2:$G$1000,7,FALSE),"")</f>
        <v>No information about appearance modifiability is available</v>
      </c>
      <c r="C5" s="5" t="str">
        <f>IFERROR(VLOOKUP($A5,'epub-metadata-strings'!$D$2:$E$978,2,FALSE),"")</f>
        <v>No information about appearance modifiability is available</v>
      </c>
      <c r="D5" s="2" t="b">
        <f t="shared" si="0"/>
        <v>1</v>
      </c>
      <c r="E5" s="5" t="str">
        <f>IFERROR(VLOOKUP($A5,'onix-metadata-strings'!$D$2:$E$982,2,FALSE),"")</f>
        <v>No information about appearance modifiability is available</v>
      </c>
      <c r="F5" s="2" t="b">
        <f t="shared" si="1"/>
        <v>1</v>
      </c>
    </row>
    <row r="6" spans="1:6" x14ac:dyDescent="0.2">
      <c r="A6" t="str">
        <v>ways-of-reading-nonvisual-reading-readable</v>
      </c>
      <c r="B6" s="5" t="str">
        <f>IFERROR(VLOOKUP($A6&amp;"-compact",'guidelines-string'!$A$2:$G$1000,7,FALSE),"")</f>
        <v>Readable in read aloud or dynamic braille</v>
      </c>
      <c r="C6" s="5" t="str">
        <f>IFERROR(VLOOKUP($A6,'epub-metadata-strings'!$D$2:$E$978,2,FALSE),"")</f>
        <v>Readable in read aloud or dynamic braille</v>
      </c>
      <c r="D6" s="2" t="b">
        <f t="shared" si="0"/>
        <v>1</v>
      </c>
      <c r="E6" s="5" t="str">
        <f>IFERROR(VLOOKUP($A6,'onix-metadata-strings'!$D$2:$E$982,2,FALSE),"")</f>
        <v>Readable in read aloud or dynamic braille</v>
      </c>
      <c r="F6" s="2" t="b">
        <f t="shared" si="1"/>
        <v>1</v>
      </c>
    </row>
    <row r="7" spans="1:6" x14ac:dyDescent="0.2">
      <c r="A7" t="str">
        <v>ways-of-reading-nonvisual-reading-not-fully</v>
      </c>
      <c r="B7" s="5" t="str">
        <f>IFERROR(VLOOKUP($A7&amp;"-compact",'guidelines-string'!$A$2:$G$1000,7,FALSE),"")</f>
        <v>Not fully readable in read aloud or dynamic braille</v>
      </c>
      <c r="C7" s="5" t="str">
        <f>IFERROR(VLOOKUP($A7,'epub-metadata-strings'!$D$2:$E$978,2,FALSE),"")</f>
        <v>Not fully readable in read aloud or dynamic braille</v>
      </c>
      <c r="D7" s="2" t="b">
        <f t="shared" si="0"/>
        <v>1</v>
      </c>
      <c r="E7" s="5" t="str">
        <f>IFERROR(VLOOKUP($A7,'onix-metadata-strings'!$D$2:$E$982,2,FALSE),"")</f>
        <v>Not fully readable in read aloud or dynamic braille</v>
      </c>
      <c r="F7" s="2" t="b">
        <f t="shared" si="1"/>
        <v>1</v>
      </c>
    </row>
    <row r="8" spans="1:6" x14ac:dyDescent="0.2">
      <c r="A8" t="str">
        <v>ways-of-reading-nonvisual-reading-none</v>
      </c>
      <c r="B8" s="5" t="str">
        <f>IFERROR(VLOOKUP($A8&amp;"-compact",'guidelines-string'!$A$2:$G$1000,7,FALSE),"")</f>
        <v>Not readable in read aloud or dynamic braille</v>
      </c>
      <c r="C8" s="5" t="str">
        <f>IFERROR(VLOOKUP($A8,'epub-metadata-strings'!$D$2:$E$978,2,FALSE),"")</f>
        <v>Not readable in read aloud or dynamic braille</v>
      </c>
      <c r="D8" s="2" t="b">
        <f t="shared" si="0"/>
        <v>1</v>
      </c>
      <c r="E8" s="5" t="str">
        <f>IFERROR(VLOOKUP($A8,'onix-metadata-strings'!$D$2:$E$982,2,FALSE),"")</f>
        <v>Not readable in read aloud or dynamic braille</v>
      </c>
      <c r="F8" s="2" t="b">
        <f t="shared" si="1"/>
        <v>1</v>
      </c>
    </row>
    <row r="9" spans="1:6" x14ac:dyDescent="0.2">
      <c r="A9" t="str">
        <v>ways-of-reading-nonvisual-reading-no-metadata</v>
      </c>
      <c r="B9" s="5" t="str">
        <f>IFERROR(VLOOKUP($A9&amp;"-compact",'guidelines-string'!$A$2:$G$1000,7,FALSE),"")</f>
        <v>No information about nonvisual reading is available</v>
      </c>
      <c r="C9" s="5" t="str">
        <f>IFERROR(VLOOKUP($A9,'epub-metadata-strings'!$D$2:$E$978,2,FALSE),"")</f>
        <v>No information about nonvisual reading is available</v>
      </c>
      <c r="D9" s="2" t="b">
        <f t="shared" si="0"/>
        <v>1</v>
      </c>
      <c r="E9" s="5" t="str">
        <f>IFERROR(VLOOKUP($A9,'onix-metadata-strings'!$D$2:$E$982,2,FALSE),"")</f>
        <v>No information about nonvisual reading is available</v>
      </c>
      <c r="F9" s="2" t="b">
        <f t="shared" si="1"/>
        <v>1</v>
      </c>
    </row>
    <row r="10" spans="1:6" x14ac:dyDescent="0.2">
      <c r="A10" t="str">
        <v>ways-of-reading-nonvisual-reading-alt-text</v>
      </c>
      <c r="B10" s="5" t="str">
        <f>IFERROR(VLOOKUP($A10&amp;"-compact",'guidelines-string'!$A$2:$G$1000,7,FALSE),"")</f>
        <v>Has alternative text</v>
      </c>
      <c r="C10" s="5" t="str">
        <f>IFERROR(VLOOKUP($A10,'epub-metadata-strings'!$D$2:$E$978,2,FALSE),"")</f>
        <v>Has alternative text</v>
      </c>
      <c r="D10" s="2" t="b">
        <f t="shared" si="0"/>
        <v>1</v>
      </c>
      <c r="E10" s="5" t="str">
        <f>IFERROR(VLOOKUP($A10,'onix-metadata-strings'!$D$2:$E$982,2,FALSE),"")</f>
        <v>Has alternative text</v>
      </c>
      <c r="F10" s="2" t="b">
        <f t="shared" si="1"/>
        <v>1</v>
      </c>
    </row>
    <row r="11" spans="1:6" x14ac:dyDescent="0.2">
      <c r="A11" t="str">
        <v>ways-of-reading-prerecorded-audio-no-metadata</v>
      </c>
      <c r="B11" s="5" t="str">
        <f>IFERROR(VLOOKUP($A11&amp;"-compact",'guidelines-string'!$A$2:$G$1000,7,FALSE),"")</f>
        <v>No information about prerecorded audio is available</v>
      </c>
      <c r="C11" s="5" t="str">
        <f>IFERROR(VLOOKUP($A11,'epub-metadata-strings'!$D$2:$E$978,2,FALSE),"")</f>
        <v>No information about prerecorded audio is available</v>
      </c>
      <c r="D11" s="2" t="b">
        <f t="shared" si="0"/>
        <v>1</v>
      </c>
      <c r="E11" s="5" t="str">
        <f>IFERROR(VLOOKUP($A11,'onix-metadata-strings'!$D$2:$E$982,2,FALSE),"")</f>
        <v>No information about prerecorded audio is available</v>
      </c>
      <c r="F11" s="2" t="b">
        <f t="shared" si="1"/>
        <v>1</v>
      </c>
    </row>
    <row r="12" spans="1:6" x14ac:dyDescent="0.2">
      <c r="A12" t="str">
        <v>ways-of-reading-prerecorded-audio-only</v>
      </c>
      <c r="B12" s="5" t="str">
        <f>IFERROR(VLOOKUP($A12&amp;"-compact",'guidelines-string'!$A$2:$G$1000,7,FALSE),"")</f>
        <v>Prerecorded audio only</v>
      </c>
      <c r="C12" s="5" t="str">
        <f>IFERROR(VLOOKUP($A12,'epub-metadata-strings'!$D$2:$E$978,2,FALSE),"")</f>
        <v>Prerecorded audio only</v>
      </c>
      <c r="D12" s="2" t="b">
        <f t="shared" si="0"/>
        <v>1</v>
      </c>
      <c r="E12" s="5" t="str">
        <f>IFERROR(VLOOKUP($A12,'onix-metadata-strings'!$D$2:$E$982,2,FALSE),"")</f>
        <v>Prerecorded audio only</v>
      </c>
      <c r="F12" s="2" t="b">
        <f t="shared" si="1"/>
        <v>1</v>
      </c>
    </row>
    <row r="13" spans="1:6" x14ac:dyDescent="0.2">
      <c r="A13" t="str">
        <v>ways-of-reading-prerecorded-audio-synchronized</v>
      </c>
      <c r="B13" s="5" t="str">
        <f>IFERROR(VLOOKUP($A13&amp;"-compact",'guidelines-string'!$A$2:$G$1000,7,FALSE),"")</f>
        <v>Prerecorded audio synchronized with text</v>
      </c>
      <c r="C13" s="5" t="str">
        <f>IFERROR(VLOOKUP($A13,'epub-metadata-strings'!$D$2:$E$978,2,FALSE),"")</f>
        <v>Prerecorded audio synchronized with text</v>
      </c>
      <c r="D13" s="2" t="b">
        <f t="shared" si="0"/>
        <v>1</v>
      </c>
      <c r="E13" s="5" t="str">
        <f>IFERROR(VLOOKUP($A13,'onix-metadata-strings'!$D$2:$E$982,2,FALSE),"")</f>
        <v>Prerecorded audio synchronized with text</v>
      </c>
      <c r="F13" s="2" t="b">
        <f t="shared" si="1"/>
        <v>1</v>
      </c>
    </row>
    <row r="14" spans="1:6" x14ac:dyDescent="0.2">
      <c r="A14" t="str">
        <v>ways-of-reading-prerecorded-audio-complementary</v>
      </c>
      <c r="B14" s="5" t="str">
        <f>IFERROR(VLOOKUP($A14&amp;"-compact",'guidelines-string'!$A$2:$G$1000,7,FALSE),"")</f>
        <v>Prerecorded audio clips</v>
      </c>
      <c r="C14" s="5" t="str">
        <f>IFERROR(VLOOKUP($A14,'epub-metadata-strings'!$D$2:$E$978,2,FALSE),"")</f>
        <v>Prerecorded audio clips</v>
      </c>
      <c r="D14" s="2" t="b">
        <f t="shared" si="0"/>
        <v>1</v>
      </c>
      <c r="E14" s="5" t="str">
        <f>IFERROR(VLOOKUP($A14,'onix-metadata-strings'!$D$2:$E$982,2,FALSE),"")</f>
        <v>Prerecorded audio clips</v>
      </c>
      <c r="F14" s="2" t="b">
        <f t="shared" si="1"/>
        <v>1</v>
      </c>
    </row>
    <row r="15" spans="1:6" x14ac:dyDescent="0.2">
      <c r="A15" t="str">
        <v>conformance-title</v>
      </c>
      <c r="B15" s="5" t="str">
        <f>IFERROR(VLOOKUP($A15&amp;"-compact",'guidelines-string'!$A$2:$G$1000,7,FALSE),"")</f>
        <v>Conformance</v>
      </c>
      <c r="C15" s="5" t="str">
        <f>IFERROR(VLOOKUP($A15,'epub-metadata-strings'!$D$2:$E$978,2,FALSE),"")</f>
        <v>Conformance</v>
      </c>
      <c r="D15" s="2" t="b">
        <f t="shared" si="0"/>
        <v>1</v>
      </c>
      <c r="E15" s="5" t="str">
        <f>IFERROR(VLOOKUP($A15,'onix-metadata-strings'!$D$2:$E$982,2,FALSE),"")</f>
        <v>Conformance</v>
      </c>
      <c r="F15" s="2" t="b">
        <f t="shared" si="1"/>
        <v>1</v>
      </c>
    </row>
    <row r="16" spans="1:6" x14ac:dyDescent="0.2">
      <c r="A16" t="str">
        <v>conformance-a</v>
      </c>
      <c r="B16" s="5" t="str">
        <f>IFERROR(VLOOKUP($A16&amp;"-compact",'guidelines-string'!$A$2:$G$1000,7,FALSE),"")</f>
        <v>This publication meets minimum accessibility standards</v>
      </c>
      <c r="C16" s="5" t="str">
        <f>IFERROR(VLOOKUP($A16,'epub-metadata-strings'!$D$2:$E$978,2,FALSE),"")</f>
        <v>This publication meets minimum accessibility standards</v>
      </c>
      <c r="D16" s="2" t="b">
        <f t="shared" si="0"/>
        <v>1</v>
      </c>
      <c r="E16" s="5" t="str">
        <f>IFERROR(VLOOKUP($A16,'onix-metadata-strings'!$D$2:$E$982,2,FALSE),"")</f>
        <v>This publication meets minimum accessibility standards</v>
      </c>
      <c r="F16" s="2" t="b">
        <f t="shared" si="1"/>
        <v>1</v>
      </c>
    </row>
    <row r="17" spans="1:6" x14ac:dyDescent="0.2">
      <c r="A17" t="str">
        <v>conformance-aa</v>
      </c>
      <c r="B17" s="5" t="str">
        <f>IFERROR(VLOOKUP($A17&amp;"-compact",'guidelines-string'!$A$2:$G$1000,7,FALSE),"")</f>
        <v>This publication meets accepted accessibility standards</v>
      </c>
      <c r="C17" s="5" t="str">
        <f>IFERROR(VLOOKUP($A17,'epub-metadata-strings'!$D$2:$E$978,2,FALSE),"")</f>
        <v>This publication meets accepted accessibility standards</v>
      </c>
      <c r="D17" s="2" t="b">
        <f t="shared" si="0"/>
        <v>1</v>
      </c>
      <c r="E17" s="5" t="str">
        <f>IFERROR(VLOOKUP($A17,'onix-metadata-strings'!$D$2:$E$982,2,FALSE),"")</f>
        <v>This publication meets accepted accessibility standards</v>
      </c>
      <c r="F17" s="2" t="b">
        <f t="shared" si="1"/>
        <v>1</v>
      </c>
    </row>
    <row r="18" spans="1:6" x14ac:dyDescent="0.2">
      <c r="A18" t="str">
        <v>conformance-aaa</v>
      </c>
      <c r="B18" s="5" t="str">
        <f>IFERROR(VLOOKUP($A18&amp;"-compact",'guidelines-string'!$A$2:$G$1000,7,FALSE),"")</f>
        <v>This publication exceeds accepted accessibility standards</v>
      </c>
      <c r="C18" s="5" t="str">
        <f>IFERROR(VLOOKUP($A18,'epub-metadata-strings'!$D$2:$E$978,2,FALSE),"")</f>
        <v>This publication exceeds accepted accessibility standards</v>
      </c>
      <c r="D18" s="2" t="b">
        <f t="shared" si="0"/>
        <v>1</v>
      </c>
      <c r="E18" s="5" t="str">
        <f>IFERROR(VLOOKUP($A18,'onix-metadata-strings'!$D$2:$E$982,2,FALSE),"")</f>
        <v>This publication exceeds accepted accessibility standards</v>
      </c>
      <c r="F18" s="2" t="b">
        <f t="shared" si="1"/>
        <v>1</v>
      </c>
    </row>
    <row r="19" spans="1:6" x14ac:dyDescent="0.2">
      <c r="A19" t="str">
        <v>conformance-no</v>
      </c>
      <c r="B19" s="5" t="str">
        <f>IFERROR(VLOOKUP($A19&amp;"-compact",'guidelines-string'!$A$2:$G$1000,7,FALSE),"")</f>
        <v>No information is available</v>
      </c>
      <c r="C19" s="5" t="str">
        <f>IFERROR(VLOOKUP($A19,'epub-metadata-strings'!$D$2:$E$978,2,FALSE),"")</f>
        <v>No information is available</v>
      </c>
      <c r="D19" s="2" t="b">
        <f t="shared" si="0"/>
        <v>1</v>
      </c>
      <c r="E19" s="5" t="str">
        <f>IFERROR(VLOOKUP($A19,'onix-metadata-strings'!$D$2:$E$982,2,FALSE),"")</f>
        <v>No information is available</v>
      </c>
      <c r="F19" s="2" t="b">
        <f t="shared" si="1"/>
        <v>1</v>
      </c>
    </row>
    <row r="20" spans="1:6" x14ac:dyDescent="0.2">
      <c r="A20" t="str">
        <v>conformance-certifier</v>
      </c>
      <c r="B20" s="5" t="str">
        <f>IFERROR(VLOOKUP($A20&amp;"-compact",'guidelines-string'!$A$2:$G$1000,7,FALSE),"")</f>
        <v>The publication was certified by</v>
      </c>
      <c r="C20" s="5" t="str">
        <f>IFERROR(VLOOKUP($A20,'epub-metadata-strings'!$D$2:$E$978,2,FALSE),"")</f>
        <v>The publication was certified by {certifier}</v>
      </c>
      <c r="D20" s="2" t="b">
        <f t="shared" si="0"/>
        <v>0</v>
      </c>
      <c r="E20" s="5" t="str">
        <f>IFERROR(VLOOKUP($A20,'onix-metadata-strings'!$D$2:$E$982,2,FALSE),"")</f>
        <v>The publication was certified by {certifier}</v>
      </c>
      <c r="F20" s="2" t="b">
        <f t="shared" si="1"/>
        <v>0</v>
      </c>
    </row>
    <row r="21" spans="1:6" x14ac:dyDescent="0.2">
      <c r="A21" t="str">
        <v>conformance-certifier-credentials</v>
      </c>
      <c r="B21" s="5" t="str">
        <f>IFERROR(VLOOKUP($A21&amp;"-compact",'guidelines-string'!$A$2:$G$1000,7,FALSE),"")</f>
        <v>The certifier's credential is</v>
      </c>
      <c r="C21" s="5" t="str">
        <f>IFERROR(VLOOKUP($A21,'epub-metadata-strings'!$D$2:$E$978,2,FALSE),"")</f>
        <v>The certifier's credential is {certifier_credentials}</v>
      </c>
      <c r="D21" s="2" t="b">
        <f t="shared" si="0"/>
        <v>0</v>
      </c>
      <c r="E21" s="5" t="str">
        <f>IFERROR(VLOOKUP($A21,'onix-metadata-strings'!$D$2:$E$982,2,FALSE),"")</f>
        <v>The certifier's credential is {certifier_credentials}</v>
      </c>
      <c r="F21" s="2" t="b">
        <f t="shared" si="1"/>
        <v>0</v>
      </c>
    </row>
    <row r="22" spans="1:6" x14ac:dyDescent="0.2">
      <c r="A22" t="str">
        <v>conformance-details-claim</v>
      </c>
      <c r="B22" s="5" t="str">
        <f>IFERROR(VLOOKUP($A22&amp;"-compact",'guidelines-string'!$A$2:$G$1000,7,FALSE),"")</f>
        <v>This publication claims to meet</v>
      </c>
      <c r="C22" s="5" t="str">
        <f>IFERROR(VLOOKUP($A22,'epub-metadata-strings'!$D$2:$E$978,2,FALSE),"")</f>
        <v>This publication claims to meet {epub_accessibility} {wcag_version} {wcag_level}</v>
      </c>
      <c r="D22" s="2" t="b">
        <f t="shared" si="0"/>
        <v>0</v>
      </c>
      <c r="E22" s="5" t="str">
        <f>IFERROR(VLOOKUP($A22,'onix-metadata-strings'!$D$2:$E$982,2,FALSE),"")</f>
        <v>This publication claims to meet {epub_accessibility} {wcag_version} {wcag_level}</v>
      </c>
      <c r="F22" s="2" t="b">
        <f t="shared" si="1"/>
        <v>0</v>
      </c>
    </row>
    <row r="23" spans="1:6" x14ac:dyDescent="0.2">
      <c r="A23" t="str">
        <v>conformance-details-wcag-2-0</v>
      </c>
      <c r="B23" s="5" t="str">
        <f>IFERROR(VLOOKUP($A23&amp;"-compact",'guidelines-string'!$A$2:$G$1000,7,FALSE),"")</f>
        <v/>
      </c>
      <c r="C23" s="5" t="str">
        <f>IFERROR(VLOOKUP($A23,'epub-metadata-strings'!$D$2:$E$978,2,FALSE),"")</f>
        <v>WCAG 2.0</v>
      </c>
      <c r="D23" s="2" t="str">
        <f t="shared" si="0"/>
        <v/>
      </c>
      <c r="E23" s="5" t="str">
        <f>IFERROR(VLOOKUP($A23,'onix-metadata-strings'!$D$2:$E$982,2,FALSE),"")</f>
        <v>WCAG 2.0</v>
      </c>
      <c r="F23" s="2" t="str">
        <f t="shared" si="1"/>
        <v/>
      </c>
    </row>
    <row r="24" spans="1:6" x14ac:dyDescent="0.2">
      <c r="A24" t="str">
        <v>conformance-details-wcag-2-1</v>
      </c>
      <c r="B24" s="5" t="str">
        <f>IFERROR(VLOOKUP($A24&amp;"-compact",'guidelines-string'!$A$2:$G$1000,7,FALSE),"")</f>
        <v>WCAG 2.1</v>
      </c>
      <c r="C24" s="5" t="str">
        <f>IFERROR(VLOOKUP($A24,'epub-metadata-strings'!$D$2:$E$978,2,FALSE),"")</f>
        <v>WCAG 2.1</v>
      </c>
      <c r="D24" s="2" t="b">
        <f t="shared" si="0"/>
        <v>1</v>
      </c>
      <c r="E24" s="5" t="str">
        <f>IFERROR(VLOOKUP($A24,'onix-metadata-strings'!$D$2:$E$982,2,FALSE),"")</f>
        <v>WCAG 2.1</v>
      </c>
      <c r="F24" s="2" t="b">
        <f t="shared" si="1"/>
        <v>1</v>
      </c>
    </row>
    <row r="25" spans="1:6" x14ac:dyDescent="0.2">
      <c r="A25" t="str">
        <v>conformance-details-wcag-2-2</v>
      </c>
      <c r="B25" s="5" t="str">
        <f>IFERROR(VLOOKUP($A25&amp;"-compact",'guidelines-string'!$A$2:$G$1000,7,FALSE),"")</f>
        <v/>
      </c>
      <c r="C25" s="5" t="str">
        <f>IFERROR(VLOOKUP($A25,'epub-metadata-strings'!$D$2:$E$978,2,FALSE),"")</f>
        <v>WCAG 2.2</v>
      </c>
      <c r="D25" s="2" t="str">
        <f t="shared" si="0"/>
        <v/>
      </c>
      <c r="E25" s="5" t="str">
        <f>IFERROR(VLOOKUP($A25,'onix-metadata-strings'!$D$2:$E$982,2,FALSE),"")</f>
        <v>WCAG 2.2</v>
      </c>
      <c r="F25" s="2" t="str">
        <f t="shared" si="1"/>
        <v/>
      </c>
    </row>
    <row r="26" spans="1:6" x14ac:dyDescent="0.2">
      <c r="A26" t="str">
        <v>conformance-details-certification-info</v>
      </c>
      <c r="B26" s="5" t="str">
        <f>IFERROR(VLOOKUP($A26&amp;"-compact",'guidelines-string'!$A$2:$G$1000,7,FALSE),"")</f>
        <v>The publication was certified on</v>
      </c>
      <c r="C26" s="5" t="str">
        <f>IFERROR(VLOOKUP($A26,'epub-metadata-strings'!$D$2:$E$978,2,FALSE),"")</f>
        <v>The publication was certified on {certification_date}</v>
      </c>
      <c r="D26" s="2" t="b">
        <f t="shared" si="0"/>
        <v>0</v>
      </c>
      <c r="E26" s="5" t="str">
        <f>IFERROR(VLOOKUP($A26,'onix-metadata-strings'!$D$2:$E$982,2,FALSE),"")</f>
        <v>The publication was certified on {certification_date}</v>
      </c>
      <c r="F26" s="2" t="b">
        <f t="shared" si="1"/>
        <v>0</v>
      </c>
    </row>
    <row r="27" spans="1:6" x14ac:dyDescent="0.2">
      <c r="A27" t="str">
        <v>conformance-details-certifier-report</v>
      </c>
      <c r="B27" s="5" t="str">
        <f>IFERROR(VLOOKUP($A27&amp;"-compact",'guidelines-string'!$A$2:$G$1000,7,FALSE),"")</f>
        <v>For more information refer to the certifier's report</v>
      </c>
      <c r="C27" s="5" t="str">
        <f>IFERROR(VLOOKUP($A27,'epub-metadata-strings'!$D$2:$E$978,2,FALSE),"")</f>
        <v>For more information refer to the certifier's report</v>
      </c>
      <c r="D27" s="2" t="b">
        <f t="shared" si="0"/>
        <v>1</v>
      </c>
      <c r="E27" s="5" t="str">
        <f>IFERROR(VLOOKUP($A27,'onix-metadata-strings'!$D$2:$E$982,2,FALSE),"")</f>
        <v>For more information refer to the certifier's report</v>
      </c>
      <c r="F27" s="2" t="b">
        <f t="shared" si="1"/>
        <v>1</v>
      </c>
    </row>
    <row r="28" spans="1:6" x14ac:dyDescent="0.2">
      <c r="A28" t="str">
        <v>conformance-details-title</v>
      </c>
      <c r="B28" s="5" t="str">
        <f>IFERROR(VLOOKUP($A28&amp;"-compact",'guidelines-string'!$A$2:$G$1000,7,FALSE),"")</f>
        <v>Detailed conformance information</v>
      </c>
      <c r="C28" s="5" t="str">
        <f>IFERROR(VLOOKUP($A28,'epub-metadata-strings'!$D$2:$E$978,2,FALSE),"")</f>
        <v/>
      </c>
      <c r="D28" s="2" t="b">
        <f t="shared" si="0"/>
        <v>0</v>
      </c>
      <c r="E28" s="5" t="str">
        <f>IFERROR(VLOOKUP($A28,'onix-metadata-strings'!$D$2:$E$982,2,FALSE),"")</f>
        <v/>
      </c>
      <c r="F28" s="2" t="b">
        <f t="shared" si="1"/>
        <v>0</v>
      </c>
    </row>
    <row r="29" spans="1:6" x14ac:dyDescent="0.2">
      <c r="A29" t="str">
        <v>conformance-details-epub-accessibility-1-1</v>
      </c>
      <c r="B29" s="5" t="str">
        <f>IFERROR(VLOOKUP($A29&amp;"-compact",'guidelines-string'!$A$2:$G$1000,7,FALSE),"")</f>
        <v>EPUB Accessibility 1.1</v>
      </c>
      <c r="C29" s="5" t="str">
        <f>IFERROR(VLOOKUP($A29,'epub-metadata-strings'!$D$2:$E$978,2,FALSE),"")</f>
        <v>EPUB Accessibility 1.1</v>
      </c>
      <c r="D29" s="2" t="b">
        <f t="shared" si="0"/>
        <v>1</v>
      </c>
      <c r="E29" s="5" t="str">
        <f>IFERROR(VLOOKUP($A29,'onix-metadata-strings'!$D$2:$E$982,2,FALSE),"")</f>
        <v>EPUB Accessibility 1.1</v>
      </c>
      <c r="F29" s="2" t="b">
        <f t="shared" si="1"/>
        <v>1</v>
      </c>
    </row>
    <row r="30" spans="1:6" x14ac:dyDescent="0.2">
      <c r="A30" t="str">
        <v>conformance-details-level-aa</v>
      </c>
      <c r="B30" s="5" t="str">
        <f>IFERROR(VLOOKUP($A30&amp;"-compact",'guidelines-string'!$A$2:$G$1000,7,FALSE),"")</f>
        <v>Level AA</v>
      </c>
      <c r="C30" s="5" t="str">
        <f>IFERROR(VLOOKUP($A30,'epub-metadata-strings'!$D$2:$E$978,2,FALSE),"")</f>
        <v>Level AA</v>
      </c>
      <c r="D30" s="2" t="b">
        <f t="shared" si="0"/>
        <v>1</v>
      </c>
      <c r="E30" s="5" t="str">
        <f>IFERROR(VLOOKUP($A30,'onix-metadata-strings'!$D$2:$E$982,2,FALSE),"")</f>
        <v>Level AA</v>
      </c>
      <c r="F30" s="2" t="b">
        <f t="shared" si="1"/>
        <v>1</v>
      </c>
    </row>
    <row r="31" spans="1:6" x14ac:dyDescent="0.2">
      <c r="A31" t="str">
        <v>navigation-title</v>
      </c>
      <c r="B31" s="5" t="str">
        <f>IFERROR(VLOOKUP($A31&amp;"-compact",'guidelines-string'!$A$2:$G$1000,7,FALSE),"")</f>
        <v>Navigation</v>
      </c>
      <c r="C31" s="5" t="str">
        <f>IFERROR(VLOOKUP($A31,'epub-metadata-strings'!$D$2:$E$978,2,FALSE),"")</f>
        <v>Navigation</v>
      </c>
      <c r="D31" s="2" t="b">
        <f t="shared" si="0"/>
        <v>1</v>
      </c>
      <c r="E31" s="5" t="str">
        <f>IFERROR(VLOOKUP($A31,'onix-metadata-strings'!$D$2:$E$982,2,FALSE),"")</f>
        <v>Navigation</v>
      </c>
      <c r="F31" s="2" t="b">
        <f t="shared" si="1"/>
        <v>1</v>
      </c>
    </row>
    <row r="32" spans="1:6" x14ac:dyDescent="0.2">
      <c r="A32" t="str">
        <v>navigation-no-metadata</v>
      </c>
      <c r="B32" s="5" t="str">
        <f>IFERROR(VLOOKUP($A32&amp;"-compact",'guidelines-string'!$A$2:$G$1000,7,FALSE),"")</f>
        <v>No information is available</v>
      </c>
      <c r="C32" s="5" t="str">
        <f>IFERROR(VLOOKUP($A32,'epub-metadata-strings'!$D$2:$E$978,2,FALSE),"")</f>
        <v>No information is available</v>
      </c>
      <c r="D32" s="2" t="b">
        <f t="shared" si="0"/>
        <v>1</v>
      </c>
      <c r="E32" s="5" t="str">
        <f>IFERROR(VLOOKUP($A32,'onix-metadata-strings'!$D$2:$E$982,2,FALSE),"")</f>
        <v>No information is available</v>
      </c>
      <c r="F32" s="2" t="b">
        <f t="shared" si="1"/>
        <v>1</v>
      </c>
    </row>
    <row r="33" spans="1:6" x14ac:dyDescent="0.2">
      <c r="A33" t="str">
        <v>navigation-toc</v>
      </c>
      <c r="B33" s="5" t="str">
        <f>IFERROR(VLOOKUP($A33&amp;"-compact",'guidelines-string'!$A$2:$G$1000,7,FALSE),"")</f>
        <v>Table of contents</v>
      </c>
      <c r="C33" s="5" t="str">
        <f>IFERROR(VLOOKUP($A33,'epub-metadata-strings'!$D$2:$E$978,2,FALSE),"")</f>
        <v>Table of contents</v>
      </c>
      <c r="D33" s="2" t="b">
        <f t="shared" si="0"/>
        <v>1</v>
      </c>
      <c r="E33" s="5" t="str">
        <f>IFERROR(VLOOKUP($A33,'onix-metadata-strings'!$D$2:$E$982,2,FALSE),"")</f>
        <v>Table of contents</v>
      </c>
      <c r="F33" s="2" t="b">
        <f t="shared" si="1"/>
        <v>1</v>
      </c>
    </row>
    <row r="34" spans="1:6" x14ac:dyDescent="0.2">
      <c r="A34" t="str">
        <v>navigation-index</v>
      </c>
      <c r="B34" s="5" t="str">
        <f>IFERROR(VLOOKUP($A34&amp;"-compact",'guidelines-string'!$A$2:$G$1000,7,FALSE),"")</f>
        <v>Index</v>
      </c>
      <c r="C34" s="5" t="str">
        <f>IFERROR(VLOOKUP($A34,'epub-metadata-strings'!$D$2:$E$978,2,FALSE),"")</f>
        <v>Index</v>
      </c>
      <c r="D34" s="2" t="b">
        <f t="shared" si="0"/>
        <v>1</v>
      </c>
      <c r="E34" s="5" t="str">
        <f>IFERROR(VLOOKUP($A34,'onix-metadata-strings'!$D$2:$E$982,2,FALSE),"")</f>
        <v>Index</v>
      </c>
      <c r="F34" s="2" t="b">
        <f t="shared" si="1"/>
        <v>1</v>
      </c>
    </row>
    <row r="35" spans="1:6" x14ac:dyDescent="0.2">
      <c r="A35" t="str">
        <v>navigation-structural</v>
      </c>
      <c r="B35" s="5" t="str">
        <f>IFERROR(VLOOKUP($A35&amp;"-compact",'guidelines-string'!$A$2:$G$1000,7,FALSE),"")</f>
        <v>Headings</v>
      </c>
      <c r="C35" s="5" t="str">
        <f>IFERROR(VLOOKUP($A35,'epub-metadata-strings'!$D$2:$E$978,2,FALSE),"")</f>
        <v>Headings</v>
      </c>
      <c r="D35" s="2" t="b">
        <f t="shared" si="0"/>
        <v>1</v>
      </c>
      <c r="E35" s="5" t="str">
        <f>IFERROR(VLOOKUP($A35,'onix-metadata-strings'!$D$2:$E$982,2,FALSE),"")</f>
        <v>Headings</v>
      </c>
      <c r="F35" s="2" t="b">
        <f t="shared" si="1"/>
        <v>1</v>
      </c>
    </row>
    <row r="36" spans="1:6" x14ac:dyDescent="0.2">
      <c r="A36" t="str">
        <v>navigation-page-navigation</v>
      </c>
      <c r="B36" s="5" t="str">
        <f>IFERROR(VLOOKUP($A36&amp;"-compact",'guidelines-string'!$A$2:$G$1000,7,FALSE),"")</f>
        <v>Go to page</v>
      </c>
      <c r="C36" s="5" t="str">
        <f>IFERROR(VLOOKUP($A36,'epub-metadata-strings'!$D$2:$E$978,2,FALSE),"")</f>
        <v>Go to page</v>
      </c>
      <c r="D36" s="2" t="b">
        <f t="shared" si="0"/>
        <v>1</v>
      </c>
      <c r="E36" s="5" t="str">
        <f>IFERROR(VLOOKUP($A36,'onix-metadata-strings'!$D$2:$E$982,2,FALSE),"")</f>
        <v>Go to page</v>
      </c>
      <c r="F36" s="2" t="b">
        <f t="shared" si="1"/>
        <v>1</v>
      </c>
    </row>
    <row r="37" spans="1:6" x14ac:dyDescent="0.2">
      <c r="A37" t="str">
        <v>rich-content-title</v>
      </c>
      <c r="B37" s="5" t="str">
        <f>IFERROR(VLOOKUP($A37&amp;"-compact",'guidelines-string'!$A$2:$G$1000,7,FALSE),"")</f>
        <v>Rich content</v>
      </c>
      <c r="C37" s="5" t="str">
        <f>IFERROR(VLOOKUP($A37,'epub-metadata-strings'!$D$2:$E$978,2,FALSE),"")</f>
        <v>Rich content</v>
      </c>
      <c r="D37" s="2" t="b">
        <f t="shared" si="0"/>
        <v>1</v>
      </c>
      <c r="E37" s="5" t="str">
        <f>IFERROR(VLOOKUP($A37,'onix-metadata-strings'!$D$2:$E$982,2,FALSE),"")</f>
        <v>Rich content</v>
      </c>
      <c r="F37" s="2" t="b">
        <f t="shared" si="1"/>
        <v>1</v>
      </c>
    </row>
    <row r="38" spans="1:6" x14ac:dyDescent="0.2">
      <c r="A38" t="str">
        <v>rich-content-unknown</v>
      </c>
      <c r="B38" s="5" t="str">
        <f>IFERROR(VLOOKUP($A38&amp;"-compact",'guidelines-string'!$A$2:$G$1000,7,FALSE),"")</f>
        <v>No information is available</v>
      </c>
      <c r="C38" s="5" t="str">
        <f>IFERROR(VLOOKUP($A38,'epub-metadata-strings'!$D$2:$E$978,2,FALSE),"")</f>
        <v>No information is available</v>
      </c>
      <c r="D38" s="2" t="b">
        <f t="shared" si="0"/>
        <v>1</v>
      </c>
      <c r="E38" s="5" t="str">
        <f>IFERROR(VLOOKUP($A38,'onix-metadata-strings'!$D$2:$E$982,2,FALSE),"")</f>
        <v>No information is available</v>
      </c>
      <c r="F38" s="2" t="b">
        <f t="shared" si="1"/>
        <v>1</v>
      </c>
    </row>
    <row r="39" spans="1:6" x14ac:dyDescent="0.2">
      <c r="A39" t="str">
        <v>rich-content-accessible-math-as-mathml</v>
      </c>
      <c r="B39" s="5" t="str">
        <f>IFERROR(VLOOKUP($A39&amp;"-compact",'guidelines-string'!$A$2:$G$1000,7,FALSE),"")</f>
        <v>Math as MathML</v>
      </c>
      <c r="C39" s="5" t="str">
        <f>IFERROR(VLOOKUP($A39,'epub-metadata-strings'!$D$2:$E$978,2,FALSE),"")</f>
        <v>Math as MathML</v>
      </c>
      <c r="D39" s="2" t="b">
        <f t="shared" si="0"/>
        <v>1</v>
      </c>
      <c r="E39" s="5" t="str">
        <f>IFERROR(VLOOKUP($A39,'onix-metadata-strings'!$D$2:$E$982,2,FALSE),"")</f>
        <v>Math as MathML</v>
      </c>
      <c r="F39" s="2" t="b">
        <f t="shared" si="1"/>
        <v>1</v>
      </c>
    </row>
    <row r="40" spans="1:6" x14ac:dyDescent="0.2">
      <c r="A40" t="str">
        <v>rich-content-accessible-math-as-latex</v>
      </c>
      <c r="B40" s="5" t="str">
        <f>IFERROR(VLOOKUP($A40&amp;"-compact",'guidelines-string'!$A$2:$G$1000,7,FALSE),"")</f>
        <v>Math as LaTeX</v>
      </c>
      <c r="C40" s="5" t="str">
        <f>IFERROR(VLOOKUP($A40,'epub-metadata-strings'!$D$2:$E$978,2,FALSE),"")</f>
        <v>Math as LaTeX</v>
      </c>
      <c r="D40" s="2" t="b">
        <f t="shared" si="0"/>
        <v>1</v>
      </c>
      <c r="E40" s="5" t="str">
        <f>IFERROR(VLOOKUP($A40,'onix-metadata-strings'!$D$2:$E$982,2,FALSE),"")</f>
        <v>Math as LaTeX</v>
      </c>
      <c r="F40" s="2" t="b">
        <f t="shared" si="1"/>
        <v>1</v>
      </c>
    </row>
    <row r="41" spans="1:6" x14ac:dyDescent="0.2">
      <c r="A41" t="str">
        <v>rich-content-accessible-math-described</v>
      </c>
      <c r="B41" s="5" t="str">
        <f>IFERROR(VLOOKUP($A41&amp;"-compact",'guidelines-string'!$A$2:$G$1000,7,FALSE),"")</f>
        <v>Text descriptions of math are provided</v>
      </c>
      <c r="C41" s="5" t="str">
        <f>IFERROR(VLOOKUP($A41,'epub-metadata-strings'!$D$2:$E$978,2,FALSE),"")</f>
        <v>Text descriptions of math are provided</v>
      </c>
      <c r="D41" s="2" t="b">
        <f t="shared" si="0"/>
        <v>1</v>
      </c>
      <c r="E41" s="5" t="str">
        <f>IFERROR(VLOOKUP($A41,'onix-metadata-strings'!$D$2:$E$982,2,FALSE),"")</f>
        <v>Text descriptions of math are provided</v>
      </c>
      <c r="F41" s="2" t="b">
        <f t="shared" si="1"/>
        <v>1</v>
      </c>
    </row>
    <row r="42" spans="1:6" x14ac:dyDescent="0.2">
      <c r="A42" t="str">
        <v>rich-content-accessible-chemistry-as-mathml</v>
      </c>
      <c r="B42" s="5" t="str">
        <f>IFERROR(VLOOKUP($A42&amp;"-compact",'guidelines-string'!$A$2:$G$1000,7,FALSE),"")</f>
        <v>Chemical formulas in MathML</v>
      </c>
      <c r="C42" s="5" t="str">
        <f>IFERROR(VLOOKUP($A42,'epub-metadata-strings'!$D$2:$E$978,2,FALSE),"")</f>
        <v>Chemical formulas in MathML</v>
      </c>
      <c r="D42" s="2" t="b">
        <f t="shared" si="0"/>
        <v>1</v>
      </c>
      <c r="E42" s="5" t="str">
        <f>IFERROR(VLOOKUP($A42,'onix-metadata-strings'!$D$2:$E$982,2,FALSE),"")</f>
        <v>Chemical formulas in MathML</v>
      </c>
      <c r="F42" s="2" t="b">
        <f t="shared" si="1"/>
        <v>1</v>
      </c>
    </row>
    <row r="43" spans="1:6" x14ac:dyDescent="0.2">
      <c r="A43" t="str">
        <v>rich-content-accessible-chemistry-as-latex</v>
      </c>
      <c r="B43" s="5" t="str">
        <f>IFERROR(VLOOKUP($A43&amp;"-compact",'guidelines-string'!$A$2:$G$1000,7,FALSE),"")</f>
        <v>Chemical formulas in LaTeX</v>
      </c>
      <c r="C43" s="5" t="str">
        <f>IFERROR(VLOOKUP($A43,'epub-metadata-strings'!$D$2:$E$978,2,FALSE),"")</f>
        <v>Chemical formulas in LaTeX</v>
      </c>
      <c r="D43" s="2" t="b">
        <f t="shared" si="0"/>
        <v>1</v>
      </c>
      <c r="E43" s="5" t="str">
        <f>IFERROR(VLOOKUP($A43,'onix-metadata-strings'!$D$2:$E$982,2,FALSE),"")</f>
        <v>Chemical formulas in LaTeX</v>
      </c>
      <c r="F43" s="2" t="b">
        <f t="shared" si="1"/>
        <v>1</v>
      </c>
    </row>
    <row r="44" spans="1:6" x14ac:dyDescent="0.2">
      <c r="A44" t="str">
        <v>rich-content-extended</v>
      </c>
      <c r="B44" s="5" t="str">
        <f>IFERROR(VLOOKUP($A44&amp;"-compact",'guidelines-string'!$A$2:$G$1000,7,FALSE),"")</f>
        <v>Information-rich images are described by extended descriptions</v>
      </c>
      <c r="C44" s="5" t="str">
        <f>IFERROR(VLOOKUP($A44,'epub-metadata-strings'!$D$2:$E$978,2,FALSE),"")</f>
        <v>Information-rich images are described by extended descriptions</v>
      </c>
      <c r="D44" s="2" t="b">
        <f t="shared" si="0"/>
        <v>1</v>
      </c>
      <c r="E44" s="5" t="str">
        <f>IFERROR(VLOOKUP($A44,'onix-metadata-strings'!$D$2:$E$982,2,FALSE),"")</f>
        <v>Information-rich images are described by extended descriptions</v>
      </c>
      <c r="F44" s="2" t="b">
        <f t="shared" si="1"/>
        <v>1</v>
      </c>
    </row>
    <row r="45" spans="1:6" x14ac:dyDescent="0.2">
      <c r="A45" t="str">
        <v>rich-content-closed-captions</v>
      </c>
      <c r="B45" s="5" t="str">
        <f>IFERROR(VLOOKUP($A45&amp;"-compact",'guidelines-string'!$A$2:$G$1000,7,FALSE),"")</f>
        <v>Videos have closed captions</v>
      </c>
      <c r="C45" s="5" t="str">
        <f>IFERROR(VLOOKUP($A45,'epub-metadata-strings'!$D$2:$E$978,2,FALSE),"")</f>
        <v>Videos have closed captions</v>
      </c>
      <c r="D45" s="2" t="b">
        <f t="shared" si="0"/>
        <v>1</v>
      </c>
      <c r="E45" s="5" t="str">
        <f>IFERROR(VLOOKUP($A45,'onix-metadata-strings'!$D$2:$E$982,2,FALSE),"")</f>
        <v>Videos have closed captions</v>
      </c>
      <c r="F45" s="2" t="b">
        <f t="shared" si="1"/>
        <v>1</v>
      </c>
    </row>
    <row r="46" spans="1:6" x14ac:dyDescent="0.2">
      <c r="A46" t="str">
        <v>rich-content-open-captions</v>
      </c>
      <c r="B46" s="5" t="str">
        <f>IFERROR(VLOOKUP($A46&amp;"-compact",'guidelines-string'!$A$2:$G$1000,7,FALSE),"")</f>
        <v>Videos have open captions</v>
      </c>
      <c r="C46" s="5" t="str">
        <f>IFERROR(VLOOKUP($A46,'epub-metadata-strings'!$D$2:$E$978,2,FALSE),"")</f>
        <v>Videos have open captions</v>
      </c>
      <c r="D46" s="2" t="b">
        <f t="shared" si="0"/>
        <v>1</v>
      </c>
      <c r="E46" s="5" t="str">
        <f>IFERROR(VLOOKUP($A46,'onix-metadata-strings'!$D$2:$E$982,2,FALSE),"")</f>
        <v>Videos have open captions</v>
      </c>
      <c r="F46" s="2" t="b">
        <f t="shared" si="1"/>
        <v>1</v>
      </c>
    </row>
    <row r="47" spans="1:6" x14ac:dyDescent="0.2">
      <c r="A47" t="str">
        <v>rich-content-transcript</v>
      </c>
      <c r="B47" s="5" t="str">
        <f>IFERROR(VLOOKUP($A47&amp;"-compact",'guidelines-string'!$A$2:$G$1000,7,FALSE),"")</f>
        <v>Transcript(s) provided</v>
      </c>
      <c r="C47" s="5" t="str">
        <f>IFERROR(VLOOKUP($A47,'epub-metadata-strings'!$D$2:$E$978,2,FALSE),"")</f>
        <v>Transcript(s) provided</v>
      </c>
      <c r="D47" s="2" t="b">
        <f t="shared" si="0"/>
        <v>1</v>
      </c>
      <c r="E47" s="5" t="str">
        <f>IFERROR(VLOOKUP($A47,'onix-metadata-strings'!$D$2:$E$982,2,FALSE),"")</f>
        <v>Transcript(s) provided</v>
      </c>
      <c r="F47" s="2" t="b">
        <f t="shared" si="1"/>
        <v>1</v>
      </c>
    </row>
    <row r="48" spans="1:6" x14ac:dyDescent="0.2">
      <c r="A48" t="str">
        <v>hazards-title</v>
      </c>
      <c r="B48" s="5" t="str">
        <f>IFERROR(VLOOKUP($A48&amp;"-compact",'guidelines-string'!$A$2:$G$1000,7,FALSE),"")</f>
        <v>Hazards</v>
      </c>
      <c r="C48" s="5" t="str">
        <f>IFERROR(VLOOKUP($A48,'epub-metadata-strings'!$D$2:$E$978,2,FALSE),"")</f>
        <v>Hazards</v>
      </c>
      <c r="D48" s="2" t="b">
        <f t="shared" si="0"/>
        <v>1</v>
      </c>
      <c r="E48" s="5" t="str">
        <f>IFERROR(VLOOKUP($A48,'onix-metadata-strings'!$D$2:$E$982,2,FALSE),"")</f>
        <v>Hazards</v>
      </c>
      <c r="F48" s="2" t="b">
        <f t="shared" si="1"/>
        <v>1</v>
      </c>
    </row>
    <row r="49" spans="1:6" x14ac:dyDescent="0.2">
      <c r="A49" t="str">
        <v>hazards-no-metadata</v>
      </c>
      <c r="B49" s="5" t="str">
        <f>IFERROR(VLOOKUP($A49&amp;"-compact",'guidelines-string'!$A$2:$G$1000,7,FALSE),"")</f>
        <v>No information is available</v>
      </c>
      <c r="C49" s="5" t="str">
        <f>IFERROR(VLOOKUP($A49,'epub-metadata-strings'!$D$2:$E$978,2,FALSE),"")</f>
        <v>No information is available</v>
      </c>
      <c r="D49" s="2" t="b">
        <f t="shared" si="0"/>
        <v>1</v>
      </c>
      <c r="E49" s="5" t="str">
        <f>IFERROR(VLOOKUP($A49,'onix-metadata-strings'!$D$2:$E$982,2,FALSE),"")</f>
        <v>No information is available</v>
      </c>
      <c r="F49" s="2" t="b">
        <f t="shared" si="1"/>
        <v>1</v>
      </c>
    </row>
    <row r="50" spans="1:6" x14ac:dyDescent="0.2">
      <c r="A50" t="str">
        <v>hazards-none</v>
      </c>
      <c r="B50" s="5" t="str">
        <f>IFERROR(VLOOKUP($A50&amp;"-compact",'guidelines-string'!$A$2:$G$1000,7,FALSE),"")</f>
        <v>No hazards</v>
      </c>
      <c r="C50" s="5" t="str">
        <f>IFERROR(VLOOKUP($A50,'epub-metadata-strings'!$D$2:$E$978,2,FALSE),"")</f>
        <v>No hazards</v>
      </c>
      <c r="D50" s="2" t="b">
        <f t="shared" si="0"/>
        <v>1</v>
      </c>
      <c r="E50" s="5" t="str">
        <f>IFERROR(VLOOKUP($A50,'onix-metadata-strings'!$D$2:$E$982,2,FALSE),"")</f>
        <v>No hazards</v>
      </c>
      <c r="F50" s="2" t="b">
        <f t="shared" si="1"/>
        <v>1</v>
      </c>
    </row>
    <row r="51" spans="1:6" x14ac:dyDescent="0.2">
      <c r="A51" t="str">
        <v>hazards-unknown</v>
      </c>
      <c r="B51" s="5" t="str">
        <f>IFERROR(VLOOKUP($A51&amp;"-compact",'guidelines-string'!$A$2:$G$1000,7,FALSE),"")</f>
        <v>The presence of hazards is unknown</v>
      </c>
      <c r="C51" s="5" t="str">
        <f>IFERROR(VLOOKUP($A51,'epub-metadata-strings'!$D$2:$E$978,2,FALSE),"")</f>
        <v>The presence of hazards is unknown</v>
      </c>
      <c r="D51" s="2" t="b">
        <f t="shared" si="0"/>
        <v>1</v>
      </c>
      <c r="E51" s="5" t="str">
        <f>IFERROR(VLOOKUP($A51,'onix-metadata-strings'!$D$2:$E$982,2,FALSE),"")</f>
        <v>The presence of hazards is unknown</v>
      </c>
      <c r="F51" s="2" t="b">
        <f t="shared" si="1"/>
        <v>1</v>
      </c>
    </row>
    <row r="52" spans="1:6" x14ac:dyDescent="0.2">
      <c r="A52" t="str">
        <v>hazards-flashing</v>
      </c>
      <c r="B52" s="5" t="str">
        <f>IFERROR(VLOOKUP($A52&amp;"-compact",'guidelines-string'!$A$2:$G$1000,7,FALSE),"")</f>
        <v>Flashing content</v>
      </c>
      <c r="C52" s="5" t="str">
        <f>IFERROR(VLOOKUP($A52,'epub-metadata-strings'!$D$2:$E$978,2,FALSE),"")</f>
        <v>Flashing content</v>
      </c>
      <c r="D52" s="2" t="b">
        <f t="shared" si="0"/>
        <v>1</v>
      </c>
      <c r="E52" s="5" t="str">
        <f>IFERROR(VLOOKUP($A52,'onix-metadata-strings'!$D$2:$E$982,2,FALSE),"")</f>
        <v>Flashing content</v>
      </c>
      <c r="F52" s="2" t="b">
        <f t="shared" si="1"/>
        <v>1</v>
      </c>
    </row>
    <row r="53" spans="1:6" x14ac:dyDescent="0.2">
      <c r="A53" t="str">
        <v>hazards-flashing-none</v>
      </c>
      <c r="B53" s="5" t="str">
        <f>IFERROR(VLOOKUP($A53&amp;"-compact",'guidelines-string'!$A$2:$G$1000,7,FALSE),"")</f>
        <v>No flashing hazards</v>
      </c>
      <c r="C53" s="5" t="str">
        <f>IFERROR(VLOOKUP($A53,'epub-metadata-strings'!$D$2:$E$978,2,FALSE),"")</f>
        <v>No flashing hazards</v>
      </c>
      <c r="D53" s="2" t="b">
        <f t="shared" si="0"/>
        <v>1</v>
      </c>
      <c r="E53" s="5" t="str">
        <f>IFERROR(VLOOKUP($A53,'onix-metadata-strings'!$D$2:$E$982,2,FALSE),"")</f>
        <v>No flashing hazards</v>
      </c>
      <c r="F53" s="2" t="b">
        <f t="shared" si="1"/>
        <v>1</v>
      </c>
    </row>
    <row r="54" spans="1:6" x14ac:dyDescent="0.2">
      <c r="A54" t="str">
        <v>hazards-flashing-unknown</v>
      </c>
      <c r="B54" s="5" t="str">
        <f>IFERROR(VLOOKUP($A54&amp;"-compact",'guidelines-string'!$A$2:$G$1000,7,FALSE),"")</f>
        <v>Flashing hazards not known</v>
      </c>
      <c r="C54" s="5" t="str">
        <f>IFERROR(VLOOKUP($A54,'epub-metadata-strings'!$D$2:$E$978,2,FALSE),"")</f>
        <v>Flashing hazards not known</v>
      </c>
      <c r="D54" s="2" t="b">
        <f t="shared" si="0"/>
        <v>1</v>
      </c>
      <c r="E54" s="5" t="str">
        <f>IFERROR(VLOOKUP($A54,'onix-metadata-strings'!$D$2:$E$982,2,FALSE),"")</f>
        <v>Flashing hazards not known</v>
      </c>
      <c r="F54" s="2" t="b">
        <f t="shared" si="1"/>
        <v>1</v>
      </c>
    </row>
    <row r="55" spans="1:6" x14ac:dyDescent="0.2">
      <c r="A55" t="str">
        <v>hazards-motion</v>
      </c>
      <c r="B55" s="5" t="str">
        <f>IFERROR(VLOOKUP($A55&amp;"-compact",'guidelines-string'!$A$2:$G$1000,7,FALSE),"")</f>
        <v>Motion simulation</v>
      </c>
      <c r="C55" s="5" t="str">
        <f>IFERROR(VLOOKUP($A55,'epub-metadata-strings'!$D$2:$E$978,2,FALSE),"")</f>
        <v>Motion simulation</v>
      </c>
      <c r="D55" s="2" t="b">
        <f t="shared" si="0"/>
        <v>1</v>
      </c>
      <c r="E55" s="5" t="str">
        <f>IFERROR(VLOOKUP($A55,'onix-metadata-strings'!$D$2:$E$982,2,FALSE),"")</f>
        <v>Motion simulation</v>
      </c>
      <c r="F55" s="2" t="b">
        <f t="shared" si="1"/>
        <v>1</v>
      </c>
    </row>
    <row r="56" spans="1:6" x14ac:dyDescent="0.2">
      <c r="A56" t="str">
        <v>hazards-motion-none</v>
      </c>
      <c r="B56" s="5" t="str">
        <f>IFERROR(VLOOKUP($A56&amp;"-compact",'guidelines-string'!$A$2:$G$1000,7,FALSE),"")</f>
        <v>No motion simulation hazards</v>
      </c>
      <c r="C56" s="5" t="str">
        <f>IFERROR(VLOOKUP($A56,'epub-metadata-strings'!$D$2:$E$978,2,FALSE),"")</f>
        <v>No motion simulation hazards</v>
      </c>
      <c r="D56" s="2" t="b">
        <f t="shared" si="0"/>
        <v>1</v>
      </c>
      <c r="E56" s="5" t="str">
        <f>IFERROR(VLOOKUP($A56,'onix-metadata-strings'!$D$2:$E$982,2,FALSE),"")</f>
        <v>No motion simulation hazards</v>
      </c>
      <c r="F56" s="2" t="b">
        <f t="shared" si="1"/>
        <v>1</v>
      </c>
    </row>
    <row r="57" spans="1:6" x14ac:dyDescent="0.2">
      <c r="A57" t="str">
        <v>hazards-motion-unknown</v>
      </c>
      <c r="B57" s="5" t="str">
        <f>IFERROR(VLOOKUP($A57&amp;"-compact",'guidelines-string'!$A$2:$G$1000,7,FALSE),"")</f>
        <v>Motion simulation hazards not known</v>
      </c>
      <c r="C57" s="5" t="str">
        <f>IFERROR(VLOOKUP($A57,'epub-metadata-strings'!$D$2:$E$978,2,FALSE),"")</f>
        <v>Motion simulation hazards not known</v>
      </c>
      <c r="D57" s="2" t="b">
        <f t="shared" si="0"/>
        <v>1</v>
      </c>
      <c r="E57" s="5" t="str">
        <f>IFERROR(VLOOKUP($A57,'onix-metadata-strings'!$D$2:$E$982,2,FALSE),"")</f>
        <v>Motion simulation hazards not known</v>
      </c>
      <c r="F57" s="2" t="b">
        <f t="shared" si="1"/>
        <v>1</v>
      </c>
    </row>
    <row r="58" spans="1:6" x14ac:dyDescent="0.2">
      <c r="A58" t="str">
        <v>hazards-sound</v>
      </c>
      <c r="B58" s="5" t="str">
        <f>IFERROR(VLOOKUP($A58&amp;"-compact",'guidelines-string'!$A$2:$G$1000,7,FALSE),"")</f>
        <v>Sounds</v>
      </c>
      <c r="C58" s="5" t="str">
        <f>IFERROR(VLOOKUP($A58,'epub-metadata-strings'!$D$2:$E$978,2,FALSE),"")</f>
        <v>Sounds</v>
      </c>
      <c r="D58" s="2" t="b">
        <f t="shared" si="0"/>
        <v>1</v>
      </c>
      <c r="E58" s="5" t="str">
        <f>IFERROR(VLOOKUP($A58,'onix-metadata-strings'!$D$2:$E$982,2,FALSE),"")</f>
        <v>Sounds</v>
      </c>
      <c r="F58" s="2" t="b">
        <f t="shared" si="1"/>
        <v>1</v>
      </c>
    </row>
    <row r="59" spans="1:6" x14ac:dyDescent="0.2">
      <c r="A59" t="str">
        <v>hazards-sound-none</v>
      </c>
      <c r="B59" s="5" t="str">
        <f>IFERROR(VLOOKUP($A59&amp;"-compact",'guidelines-string'!$A$2:$G$1000,7,FALSE),"")</f>
        <v>No sound hazards</v>
      </c>
      <c r="C59" s="5" t="str">
        <f>IFERROR(VLOOKUP($A59,'epub-metadata-strings'!$D$2:$E$978,2,FALSE),"")</f>
        <v>No sound hazards</v>
      </c>
      <c r="D59" s="2" t="b">
        <f t="shared" si="0"/>
        <v>1</v>
      </c>
      <c r="E59" s="5" t="str">
        <f>IFERROR(VLOOKUP($A59,'onix-metadata-strings'!$D$2:$E$982,2,FALSE),"")</f>
        <v>No sound hazards</v>
      </c>
      <c r="F59" s="2" t="b">
        <f t="shared" si="1"/>
        <v>1</v>
      </c>
    </row>
    <row r="60" spans="1:6" x14ac:dyDescent="0.2">
      <c r="A60" t="str">
        <v>hazards-sound-unknown</v>
      </c>
      <c r="B60" s="5" t="str">
        <f>IFERROR(VLOOKUP($A60&amp;"-compact",'guidelines-string'!$A$2:$G$1000,7,FALSE),"")</f>
        <v>Sound hazards not known</v>
      </c>
      <c r="C60" s="5" t="str">
        <f>IFERROR(VLOOKUP($A60,'epub-metadata-strings'!$D$2:$E$978,2,FALSE),"")</f>
        <v>Sound hazards not known</v>
      </c>
      <c r="D60" s="2" t="b">
        <f t="shared" si="0"/>
        <v>1</v>
      </c>
      <c r="E60" s="5" t="str">
        <f>IFERROR(VLOOKUP($A60,'onix-metadata-strings'!$D$2:$E$982,2,FALSE),"")</f>
        <v>Sound hazards not known</v>
      </c>
      <c r="F60" s="2" t="b">
        <f t="shared" si="1"/>
        <v>1</v>
      </c>
    </row>
    <row r="61" spans="1:6" x14ac:dyDescent="0.2">
      <c r="A61" t="str">
        <v>accessibility-summary-title</v>
      </c>
      <c r="B61" s="5" t="str">
        <f>IFERROR(VLOOKUP($A61&amp;"-compact",'guidelines-string'!$A$2:$G$1000,7,FALSE),"")</f>
        <v>Accessibility summary</v>
      </c>
      <c r="C61" s="5" t="str">
        <f>IFERROR(VLOOKUP($A61,'epub-metadata-strings'!$D$2:$E$978,2,FALSE),"")</f>
        <v>Accessibility summary</v>
      </c>
      <c r="D61" s="2" t="b">
        <f t="shared" si="0"/>
        <v>1</v>
      </c>
      <c r="E61" s="5" t="str">
        <f>IFERROR(VLOOKUP($A61,'onix-metadata-strings'!$D$2:$E$982,2,FALSE),"")</f>
        <v>Accessibility summary</v>
      </c>
      <c r="F61" s="2" t="b">
        <f t="shared" si="1"/>
        <v>1</v>
      </c>
    </row>
    <row r="62" spans="1:6" x14ac:dyDescent="0.2">
      <c r="A62" t="str">
        <v>accessibility-summary-no-metadata</v>
      </c>
      <c r="B62" s="5" t="str">
        <f>IFERROR(VLOOKUP($A62&amp;"-compact",'guidelines-string'!$A$2:$G$1000,7,FALSE),"")</f>
        <v>No information is available</v>
      </c>
      <c r="C62" s="5" t="str">
        <f>IFERROR(VLOOKUP($A62,'epub-metadata-strings'!$D$2:$E$978,2,FALSE),"")</f>
        <v>No information is available</v>
      </c>
      <c r="D62" s="2" t="b">
        <f t="shared" si="0"/>
        <v>1</v>
      </c>
      <c r="E62" s="5" t="str">
        <f>IFERROR(VLOOKUP($A62,'onix-metadata-strings'!$D$2:$E$982,2,FALSE),"")</f>
        <v>No information is available</v>
      </c>
      <c r="F62" s="2" t="b">
        <f t="shared" si="1"/>
        <v>1</v>
      </c>
    </row>
    <row r="63" spans="1:6" x14ac:dyDescent="0.2">
      <c r="A63" t="str">
        <v>legal-considerations-title</v>
      </c>
      <c r="B63" s="5" t="str">
        <f>IFERROR(VLOOKUP($A63&amp;"-compact",'guidelines-string'!$A$2:$G$1000,7,FALSE),"")</f>
        <v>Legal considerations</v>
      </c>
      <c r="C63" s="5" t="str">
        <f>IFERROR(VLOOKUP($A63,'epub-metadata-strings'!$D$2:$E$978,2,FALSE),"")</f>
        <v>Legal considerations</v>
      </c>
      <c r="D63" s="2" t="b">
        <f t="shared" si="0"/>
        <v>1</v>
      </c>
      <c r="E63" s="5" t="str">
        <f>IFERROR(VLOOKUP($A63,'onix-metadata-strings'!$D$2:$E$982,2,FALSE),"")</f>
        <v>Legal considerations</v>
      </c>
      <c r="F63" s="2" t="b">
        <f t="shared" si="1"/>
        <v>1</v>
      </c>
    </row>
    <row r="64" spans="1:6" x14ac:dyDescent="0.2">
      <c r="A64" t="str">
        <v>legal-considerations-exempt</v>
      </c>
      <c r="B64" s="5" t="str">
        <f>IFERROR(VLOOKUP($A64&amp;"-compact",'guidelines-string'!$A$2:$G$1000,7,FALSE),"")</f>
        <v>Claims an accessibility exemption in some jurisdictions</v>
      </c>
      <c r="C64" s="5" t="str">
        <f>IFERROR(VLOOKUP($A64,'epub-metadata-strings'!$D$2:$E$978,2,FALSE),"")</f>
        <v>Claims an accessibility exemption in some jurisdictions</v>
      </c>
      <c r="D64" s="2" t="b">
        <f t="shared" si="0"/>
        <v>1</v>
      </c>
      <c r="E64" s="5" t="str">
        <f>IFERROR(VLOOKUP($A64,'onix-metadata-strings'!$D$2:$E$982,2,FALSE),"")</f>
        <v>Claims an accessibility exemption in some jurisdictions</v>
      </c>
      <c r="F64" s="2" t="b">
        <f t="shared" si="1"/>
        <v>1</v>
      </c>
    </row>
    <row r="65" spans="1:6" x14ac:dyDescent="0.2">
      <c r="A65" t="str">
        <v>legal-considerations-no-metadata</v>
      </c>
      <c r="B65" s="5" t="str">
        <f>IFERROR(VLOOKUP($A65&amp;"-compact",'guidelines-string'!$A$2:$G$1000,7,FALSE),"")</f>
        <v>No information is available</v>
      </c>
      <c r="C65" s="5" t="str">
        <f>IFERROR(VLOOKUP($A65,'epub-metadata-strings'!$D$2:$E$978,2,FALSE),"")</f>
        <v>No information is available</v>
      </c>
      <c r="D65" s="2" t="b">
        <f t="shared" si="0"/>
        <v>1</v>
      </c>
      <c r="E65" s="5" t="str">
        <f>IFERROR(VLOOKUP($A65,'onix-metadata-strings'!$D$2:$E$982,2,FALSE),"")</f>
        <v>No information is available</v>
      </c>
      <c r="F65" s="2" t="b">
        <f t="shared" si="1"/>
        <v>1</v>
      </c>
    </row>
    <row r="66" spans="1:6" x14ac:dyDescent="0.2">
      <c r="A66" t="str">
        <v>additional-accessibility-information-title</v>
      </c>
      <c r="B66" s="5" t="str">
        <f>IFERROR(VLOOKUP($A66&amp;"-compact",'guidelines-string'!$A$2:$G$1000,7,FALSE),"")</f>
        <v>Additional accessibility information</v>
      </c>
      <c r="C66" s="5" t="str">
        <f>IFERROR(VLOOKUP($A66,'epub-metadata-strings'!$D$2:$E$978,2,FALSE),"")</f>
        <v>Additional accessibility information</v>
      </c>
      <c r="D66" s="2" t="b">
        <f t="shared" si="0"/>
        <v>1</v>
      </c>
      <c r="E66" s="5" t="str">
        <f>IFERROR(VLOOKUP($A66,'onix-metadata-strings'!$D$2:$E$982,2,FALSE),"")</f>
        <v>Additional accessibility information</v>
      </c>
      <c r="F66" s="2" t="b">
        <f t="shared" si="1"/>
        <v>1</v>
      </c>
    </row>
    <row r="67" spans="1:6" x14ac:dyDescent="0.2">
      <c r="A67" t="str">
        <v>additional-accessibility-information-aria</v>
      </c>
      <c r="B67" s="5" t="str">
        <f>IFERROR(VLOOKUP($A67&amp;"-compact",'guidelines-string'!$A$2:$G$1000,7,FALSE),"")</f>
        <v>ARIA roles included</v>
      </c>
      <c r="C67" s="5" t="str">
        <f>IFERROR(VLOOKUP($A67,'epub-metadata-strings'!$D$2:$E$978,2,FALSE),"")</f>
        <v>ARIA roles included</v>
      </c>
      <c r="D67" s="2" t="b">
        <f t="shared" si="0"/>
        <v>1</v>
      </c>
      <c r="E67" s="5" t="str">
        <f>IFERROR(VLOOKUP($A67,'onix-metadata-strings'!$D$2:$E$982,2,FALSE),"")</f>
        <v/>
      </c>
      <c r="F67" s="2" t="b">
        <f t="shared" si="1"/>
        <v>0</v>
      </c>
    </row>
    <row r="68" spans="1:6" x14ac:dyDescent="0.2">
      <c r="A68" t="str">
        <v>additional-accessibility-information-page-breaks</v>
      </c>
      <c r="B68" s="5" t="str">
        <f>IFERROR(VLOOKUP($A68&amp;"-compact",'guidelines-string'!$A$2:$G$1000,7,FALSE),"")</f>
        <v>Page breaks included</v>
      </c>
      <c r="C68" s="5" t="str">
        <f>IFERROR(VLOOKUP($A68,'epub-metadata-strings'!$D$2:$E$978,2,FALSE),"")</f>
        <v>Page breaks included</v>
      </c>
      <c r="D68" s="2" t="b">
        <f t="shared" ref="D68:D85" si="2">IF($B68="","",EXACT($B68,C68))</f>
        <v>1</v>
      </c>
      <c r="E68" s="5" t="str">
        <f>IFERROR(VLOOKUP($A68,'onix-metadata-strings'!$D$2:$E$982,2,FALSE),"")</f>
        <v>Page breaks included</v>
      </c>
      <c r="F68" s="2" t="b">
        <f t="shared" ref="F68:F85" si="3">IF($B68="","",EXACT($B68,E68))</f>
        <v>1</v>
      </c>
    </row>
    <row r="69" spans="1:6" x14ac:dyDescent="0.2">
      <c r="A69" t="str">
        <v>additional-accessibility-information-tactile-graphics</v>
      </c>
      <c r="B69" s="5" t="str">
        <f>IFERROR(VLOOKUP($A69&amp;"-compact",'guidelines-string'!$A$2:$G$1000,7,FALSE),"")</f>
        <v>Tactile graphics included</v>
      </c>
      <c r="C69" s="5" t="str">
        <f>IFERROR(VLOOKUP($A69,'epub-metadata-strings'!$D$2:$E$978,2,FALSE),"")</f>
        <v>Tactile graphics included</v>
      </c>
      <c r="D69" s="2" t="b">
        <f t="shared" si="2"/>
        <v>1</v>
      </c>
      <c r="E69" s="5" t="str">
        <f>IFERROR(VLOOKUP($A69,'onix-metadata-strings'!$D$2:$E$982,2,FALSE),"")</f>
        <v/>
      </c>
      <c r="F69" s="2" t="b">
        <f t="shared" si="3"/>
        <v>0</v>
      </c>
    </row>
    <row r="70" spans="1:6" x14ac:dyDescent="0.2">
      <c r="A70" t="str">
        <v>conformance-unknown-standard</v>
      </c>
      <c r="B70" s="5" t="str">
        <f>IFERROR(VLOOKUP($A70&amp;"-compact",'guidelines-string'!$A$2:$G$1000,7,FALSE),"")</f>
        <v/>
      </c>
      <c r="C70" s="5" t="str">
        <f>IFERROR(VLOOKUP($A70,'epub-metadata-strings'!$D$2:$E$978,2,FALSE),"")</f>
        <v>Conformance to accepted standards for accessibility of this publication cannot be determined</v>
      </c>
      <c r="D70" s="2" t="str">
        <f t="shared" si="2"/>
        <v/>
      </c>
      <c r="E70" s="5" t="str">
        <f>IFERROR(VLOOKUP($A70,'onix-metadata-strings'!$D$2:$E$982,2,FALSE),"")</f>
        <v/>
      </c>
      <c r="F70" s="2" t="str">
        <f t="shared" si="3"/>
        <v/>
      </c>
    </row>
    <row r="71" spans="1:6" x14ac:dyDescent="0.2">
      <c r="A71" t="str">
        <v>conformance-details-epub-accessibility-1-0</v>
      </c>
      <c r="B71" s="5" t="str">
        <f>IFERROR(VLOOKUP($A71&amp;"-compact",'guidelines-string'!$A$2:$G$1000,7,FALSE),"")</f>
        <v/>
      </c>
      <c r="C71" s="5" t="str">
        <f>IFERROR(VLOOKUP($A71,'epub-metadata-strings'!$D$2:$E$978,2,FALSE),"")</f>
        <v>EPUB Accessibility 1.0</v>
      </c>
      <c r="D71" s="2" t="str">
        <f t="shared" si="2"/>
        <v/>
      </c>
      <c r="E71" s="5" t="str">
        <f>IFERROR(VLOOKUP($A71,'onix-metadata-strings'!$D$2:$E$982,2,FALSE),"")</f>
        <v>EPUB Accessibility 1.0</v>
      </c>
      <c r="F71" s="2" t="str">
        <f t="shared" si="3"/>
        <v/>
      </c>
    </row>
    <row r="72" spans="1:6" x14ac:dyDescent="0.2">
      <c r="A72" t="str">
        <v>conformance-details-level-aaa</v>
      </c>
      <c r="B72" s="5" t="str">
        <f>IFERROR(VLOOKUP($A72&amp;"-compact",'guidelines-string'!$A$2:$G$1000,7,FALSE),"")</f>
        <v/>
      </c>
      <c r="C72" s="5" t="str">
        <f>IFERROR(VLOOKUP($A72,'epub-metadata-strings'!$D$2:$E$978,2,FALSE),"")</f>
        <v>Level AAA</v>
      </c>
      <c r="D72" s="2" t="str">
        <f t="shared" si="2"/>
        <v/>
      </c>
      <c r="E72" s="5" t="str">
        <f>IFERROR(VLOOKUP($A72,'onix-metadata-strings'!$D$2:$E$982,2,FALSE),"")</f>
        <v>Level AAA</v>
      </c>
      <c r="F72" s="2" t="str">
        <f t="shared" si="3"/>
        <v/>
      </c>
    </row>
    <row r="73" spans="1:6" x14ac:dyDescent="0.2">
      <c r="A73" t="str">
        <v>conformance-details-level-a</v>
      </c>
      <c r="B73" s="5" t="str">
        <f>IFERROR(VLOOKUP($A73&amp;"-compact",'guidelines-string'!$A$2:$G$1000,7,FALSE),"")</f>
        <v/>
      </c>
      <c r="C73" s="5" t="str">
        <f>IFERROR(VLOOKUP($A73,'epub-metadata-strings'!$D$2:$E$978,2,FALSE),"")</f>
        <v>Level A</v>
      </c>
      <c r="D73" s="2" t="str">
        <f t="shared" si="2"/>
        <v/>
      </c>
      <c r="E73" s="5" t="str">
        <f>IFERROR(VLOOKUP($A73,'onix-metadata-strings'!$D$2:$E$982,2,FALSE),"")</f>
        <v>Level A</v>
      </c>
      <c r="F73" s="2" t="str">
        <f t="shared" si="3"/>
        <v/>
      </c>
    </row>
    <row r="74" spans="1:6" x14ac:dyDescent="0.2">
      <c r="A74" t="str">
        <v>additional-accessibility-information-audio-descriptions</v>
      </c>
      <c r="B74" s="5" t="str">
        <f>IFERROR(VLOOKUP($A74&amp;"-compact",'guidelines-string'!$A$2:$G$1000,7,FALSE),"")</f>
        <v/>
      </c>
      <c r="C74" s="5" t="str">
        <f>IFERROR(VLOOKUP($A74,'epub-metadata-strings'!$D$2:$E$978,2,FALSE),"")</f>
        <v>Audio descriptions</v>
      </c>
      <c r="D74" s="2" t="str">
        <f t="shared" si="2"/>
        <v/>
      </c>
      <c r="E74" s="5" t="str">
        <f>IFERROR(VLOOKUP($A74,'onix-metadata-strings'!$D$2:$E$982,2,FALSE),"")</f>
        <v/>
      </c>
      <c r="F74" s="2" t="str">
        <f t="shared" si="3"/>
        <v/>
      </c>
    </row>
    <row r="75" spans="1:6" x14ac:dyDescent="0.2">
      <c r="A75" t="str">
        <v>additional-accessibility-information-braille</v>
      </c>
      <c r="B75" s="5" t="str">
        <f>IFERROR(VLOOKUP($A75&amp;"-compact",'guidelines-string'!$A$2:$G$1000,7,FALSE),"")</f>
        <v/>
      </c>
      <c r="C75" s="5" t="str">
        <f>IFERROR(VLOOKUP($A75,'epub-metadata-strings'!$D$2:$E$978,2,FALSE),"")</f>
        <v>Braille</v>
      </c>
      <c r="D75" s="2" t="str">
        <f t="shared" si="2"/>
        <v/>
      </c>
      <c r="E75" s="5" t="str">
        <f>IFERROR(VLOOKUP($A75,'onix-metadata-strings'!$D$2:$E$982,2,FALSE),"")</f>
        <v/>
      </c>
      <c r="F75" s="2" t="str">
        <f t="shared" si="3"/>
        <v/>
      </c>
    </row>
    <row r="76" spans="1:6" x14ac:dyDescent="0.2">
      <c r="A76" t="str">
        <v>additional-accessibility-information-full-ruby-annotations</v>
      </c>
      <c r="B76" s="5" t="str">
        <f>IFERROR(VLOOKUP($A76&amp;"-compact",'guidelines-string'!$A$2:$G$1000,7,FALSE),"")</f>
        <v/>
      </c>
      <c r="C76" s="5" t="str">
        <f>IFERROR(VLOOKUP($A76,'epub-metadata-strings'!$D$2:$E$978,2,FALSE),"")</f>
        <v>Full ruby annotations</v>
      </c>
      <c r="D76" s="2" t="str">
        <f t="shared" si="2"/>
        <v/>
      </c>
      <c r="E76" s="5" t="str">
        <f>IFERROR(VLOOKUP($A76,'onix-metadata-strings'!$D$2:$E$982,2,FALSE),"")</f>
        <v/>
      </c>
      <c r="F76" s="2" t="str">
        <f t="shared" si="3"/>
        <v/>
      </c>
    </row>
    <row r="77" spans="1:6" x14ac:dyDescent="0.2">
      <c r="A77" t="str">
        <v>additional-accessibility-information-high-contrast-between-foreground-and-background-audio</v>
      </c>
      <c r="B77" s="5" t="str">
        <f>IFERROR(VLOOKUP($A77&amp;"-compact",'guidelines-string'!$A$2:$G$1000,7,FALSE),"")</f>
        <v/>
      </c>
      <c r="C77" s="5" t="str">
        <f>IFERROR(VLOOKUP($A77,'epub-metadata-strings'!$D$2:$E$978,2,FALSE),"")</f>
        <v>High contrast between foreground and background audio</v>
      </c>
      <c r="D77" s="2" t="str">
        <f t="shared" si="2"/>
        <v/>
      </c>
      <c r="E77" s="5" t="str">
        <f>IFERROR(VLOOKUP($A77,'onix-metadata-strings'!$D$2:$E$982,2,FALSE),"")</f>
        <v>High contrast between foreground and background audio</v>
      </c>
      <c r="F77" s="2" t="str">
        <f t="shared" si="3"/>
        <v/>
      </c>
    </row>
    <row r="78" spans="1:6" x14ac:dyDescent="0.2">
      <c r="A78" t="str">
        <v>additional-accessibility-information-high-contrast-between-text-and-background</v>
      </c>
      <c r="B78" s="5" t="str">
        <f>IFERROR(VLOOKUP($A78&amp;"-compact",'guidelines-string'!$A$2:$G$1000,7,FALSE),"")</f>
        <v/>
      </c>
      <c r="C78" s="5" t="str">
        <f>IFERROR(VLOOKUP($A78,'epub-metadata-strings'!$D$2:$E$978,2,FALSE),"")</f>
        <v>High contrast between foreground text and background</v>
      </c>
      <c r="D78" s="2" t="str">
        <f t="shared" si="2"/>
        <v/>
      </c>
      <c r="E78" s="5" t="str">
        <f>IFERROR(VLOOKUP($A78,'onix-metadata-strings'!$D$2:$E$982,2,FALSE),"")</f>
        <v>High contrast between text and background</v>
      </c>
      <c r="F78" s="2" t="str">
        <f t="shared" si="3"/>
        <v/>
      </c>
    </row>
    <row r="79" spans="1:6" x14ac:dyDescent="0.2">
      <c r="A79" t="str">
        <v>additional-accessibility-information-large-print</v>
      </c>
      <c r="B79" s="5" t="str">
        <f>IFERROR(VLOOKUP($A79&amp;"-compact",'guidelines-string'!$A$2:$G$1000,7,FALSE),"")</f>
        <v/>
      </c>
      <c r="C79" s="5" t="str">
        <f>IFERROR(VLOOKUP($A79,'epub-metadata-strings'!$D$2:$E$978,2,FALSE),"")</f>
        <v>Large print</v>
      </c>
      <c r="D79" s="2" t="str">
        <f t="shared" si="2"/>
        <v/>
      </c>
      <c r="E79" s="5" t="str">
        <f>IFERROR(VLOOKUP($A79,'onix-metadata-strings'!$D$2:$E$982,2,FALSE),"")</f>
        <v/>
      </c>
      <c r="F79" s="2" t="str">
        <f t="shared" si="3"/>
        <v/>
      </c>
    </row>
    <row r="80" spans="1:6" x14ac:dyDescent="0.2">
      <c r="A80" t="str">
        <v>additional-accessibility-information-ruby-annotations</v>
      </c>
      <c r="B80" s="5" t="str">
        <f>IFERROR(VLOOKUP($A80&amp;"-compact",'guidelines-string'!$A$2:$G$1000,7,FALSE),"")</f>
        <v/>
      </c>
      <c r="C80" s="5" t="str">
        <f>IFERROR(VLOOKUP($A80,'epub-metadata-strings'!$D$2:$E$978,2,FALSE),"")</f>
        <v>Some ruby annotations</v>
      </c>
      <c r="D80" s="2" t="str">
        <f t="shared" si="2"/>
        <v/>
      </c>
      <c r="E80" s="5" t="str">
        <f>IFERROR(VLOOKUP($A80,'onix-metadata-strings'!$D$2:$E$982,2,FALSE),"")</f>
        <v/>
      </c>
      <c r="F80" s="2" t="str">
        <f t="shared" si="3"/>
        <v/>
      </c>
    </row>
    <row r="81" spans="1:6" x14ac:dyDescent="0.2">
      <c r="A81" t="str">
        <v>additional-accessibility-information-sign-language</v>
      </c>
      <c r="B81" s="5" t="str">
        <f>IFERROR(VLOOKUP($A81&amp;"-compact",'guidelines-string'!$A$2:$G$1000,7,FALSE),"")</f>
        <v/>
      </c>
      <c r="C81" s="5" t="str">
        <f>IFERROR(VLOOKUP($A81,'epub-metadata-strings'!$D$2:$E$978,2,FALSE),"")</f>
        <v>Sign language</v>
      </c>
      <c r="D81" s="2" t="str">
        <f t="shared" si="2"/>
        <v/>
      </c>
      <c r="E81" s="5" t="str">
        <f>IFERROR(VLOOKUP($A81,'onix-metadata-strings'!$D$2:$E$982,2,FALSE),"")</f>
        <v>Sign language</v>
      </c>
      <c r="F81" s="2" t="str">
        <f t="shared" si="3"/>
        <v/>
      </c>
    </row>
    <row r="82" spans="1:6" x14ac:dyDescent="0.2">
      <c r="A82" t="str">
        <v>additional-accessibility-information-tactile-objects</v>
      </c>
      <c r="B82" s="5" t="str">
        <f>IFERROR(VLOOKUP($A82&amp;"-compact",'guidelines-string'!$A$2:$G$1000,7,FALSE),"")</f>
        <v/>
      </c>
      <c r="C82" s="5" t="str">
        <f>IFERROR(VLOOKUP($A82,'epub-metadata-strings'!$D$2:$E$978,2,FALSE),"")</f>
        <v>Tactile 3D objects</v>
      </c>
      <c r="D82" s="2" t="str">
        <f t="shared" si="2"/>
        <v/>
      </c>
      <c r="E82" s="5" t="str">
        <f>IFERROR(VLOOKUP($A82,'onix-metadata-strings'!$D$2:$E$982,2,FALSE),"")</f>
        <v/>
      </c>
      <c r="F82" s="2" t="str">
        <f t="shared" si="3"/>
        <v/>
      </c>
    </row>
    <row r="83" spans="1:6" x14ac:dyDescent="0.2">
      <c r="A83" t="str">
        <v>additional-accessibility-information-text-to-speech-hinting</v>
      </c>
      <c r="B83" s="5" t="str">
        <f>IFERROR(VLOOKUP($A83&amp;"-compact",'guidelines-string'!$A$2:$G$1000,7,FALSE),"")</f>
        <v/>
      </c>
      <c r="C83" s="5" t="str">
        <f>IFERROR(VLOOKUP($A83,'epub-metadata-strings'!$D$2:$E$978,2,FALSE),"")</f>
        <v>Text-to-speech hinting provided</v>
      </c>
      <c r="D83" s="2" t="str">
        <f t="shared" si="2"/>
        <v/>
      </c>
      <c r="E83" s="5" t="str">
        <f>IFERROR(VLOOKUP($A83,'onix-metadata-strings'!$D$2:$E$982,2,FALSE),"")</f>
        <v>Text-to-speech hinting provided</v>
      </c>
      <c r="F83" s="2" t="str">
        <f t="shared" si="3"/>
        <v/>
      </c>
    </row>
    <row r="84" spans="1:6" x14ac:dyDescent="0.2">
      <c r="A84" t="str">
        <v>accessibility-summary-publisher-contact</v>
      </c>
      <c r="B84" s="5" t="str">
        <f>IFERROR(VLOOKUP($A84&amp;"-compact",'guidelines-string'!$A$2:$G$1000,7,FALSE),"")</f>
        <v/>
      </c>
      <c r="C84" s="5" t="str">
        <f>IFERROR(VLOOKUP($A84,'epub-metadata-strings'!$D$2:$E$978,2,FALSE),"")</f>
        <v/>
      </c>
      <c r="D84" s="2" t="str">
        <f t="shared" si="2"/>
        <v/>
      </c>
      <c r="E84" s="5" t="str">
        <f>IFERROR(VLOOKUP($A84,'onix-metadata-strings'!$D$2:$E$982,2,FALSE),"")</f>
        <v>For more information about the accessibility of this product, please contact the publisher: {publisher_contact_for_accessibility}</v>
      </c>
      <c r="F84" s="2" t="str">
        <f t="shared" si="3"/>
        <v/>
      </c>
    </row>
    <row r="85" spans="1:6" x14ac:dyDescent="0.2">
      <c r="A85" t="str">
        <v>additional-accessibility-information-color-not-sole-means-of-conveying-information</v>
      </c>
      <c r="B85" s="5" t="str">
        <f>IFERROR(VLOOKUP($A85&amp;"-compact",'guidelines-string'!$A$2:$G$1000,7,FALSE),"")</f>
        <v/>
      </c>
      <c r="C85" s="5" t="str">
        <f>IFERROR(VLOOKUP($A85,'epub-metadata-strings'!$D$2:$E$978,2,FALSE),"")</f>
        <v/>
      </c>
      <c r="D85" s="2" t="str">
        <f t="shared" si="2"/>
        <v/>
      </c>
      <c r="E85" s="5" t="str">
        <f>IFERROR(VLOOKUP($A85,'onix-metadata-strings'!$D$2:$E$982,2,FALSE),"")</f>
        <v>Color is not the sole means of conveying information</v>
      </c>
      <c r="F85" s="2" t="str">
        <f t="shared" si="3"/>
        <v/>
      </c>
    </row>
    <row r="86" spans="1:6" x14ac:dyDescent="0.2">
      <c r="A86" t="str">
        <v>additional-accessibility-information-dyslexia-readability</v>
      </c>
      <c r="B86" s="5" t="str">
        <f>IFERROR(VLOOKUP($A86&amp;"-compact",'guidelines-string'!$A$2:$G$1000,7,FALSE),"")</f>
        <v/>
      </c>
      <c r="C86" s="5" t="str">
        <f>IFERROR(VLOOKUP($A86,'epub-metadata-strings'!$D$2:$E$978,2,FALSE),"")</f>
        <v/>
      </c>
      <c r="D86" s="2"/>
      <c r="E86" s="5" t="str">
        <f>IFERROR(VLOOKUP($A86,'onix-metadata-strings'!$D$2:$E$982,2,FALSE),"")</f>
        <v>Dyslexia readability</v>
      </c>
      <c r="F86" s="2"/>
    </row>
    <row r="87" spans="1:6" x14ac:dyDescent="0.2">
      <c r="A87" t="str">
        <v>additional-accessibility-information-ultra-high-contrast-between-text-and-background</v>
      </c>
      <c r="B87" s="5" t="str">
        <f>IFERROR(VLOOKUP($A87&amp;"-compact",'guidelines-string'!$A$2:$G$1000,7,FALSE),"")</f>
        <v/>
      </c>
      <c r="C87" s="5" t="str">
        <f>IFERROR(VLOOKUP($A87,'epub-metadata-strings'!$D$2:$E$978,2,FALSE),"")</f>
        <v/>
      </c>
      <c r="D87" s="2"/>
      <c r="E87" s="5" t="str">
        <f>IFERROR(VLOOKUP($A87,'onix-metadata-strings'!$D$2:$E$982,2,FALSE),"")</f>
        <v>Ultra high contrast between text and background</v>
      </c>
      <c r="F87" s="2"/>
    </row>
    <row r="88" spans="1:6" x14ac:dyDescent="0.2">
      <c r="A88" t="str">
        <v>additional-accessibility-information-visible-page-numbering</v>
      </c>
      <c r="B88" s="5" t="str">
        <f>IFERROR(VLOOKUP($A88&amp;"-compact",'guidelines-string'!$A$2:$G$1000,7,FALSE),"")</f>
        <v/>
      </c>
      <c r="C88" s="5" t="str">
        <f>IFERROR(VLOOKUP($A88,'epub-metadata-strings'!$D$2:$E$978,2,FALSE),"")</f>
        <v/>
      </c>
      <c r="D88" s="2"/>
      <c r="E88" s="5" t="str">
        <f>IFERROR(VLOOKUP($A88,'onix-metadata-strings'!$D$2:$E$982,2,FALSE),"")</f>
        <v>Visible page numbering</v>
      </c>
      <c r="F88" s="2"/>
    </row>
    <row r="89" spans="1:6" x14ac:dyDescent="0.2">
      <c r="A89" t="str">
        <v>additional-accessibility-information-without-background-sounds</v>
      </c>
      <c r="B89" s="5" t="str">
        <f>IFERROR(VLOOKUP($A89&amp;"-compact",'guidelines-string'!$A$2:$G$1000,7,FALSE),"")</f>
        <v/>
      </c>
      <c r="C89" s="5" t="str">
        <f>IFERROR(VLOOKUP($A89,'epub-metadata-strings'!$D$2:$E$978,2,FALSE),"")</f>
        <v/>
      </c>
      <c r="D89" s="2"/>
      <c r="E89" s="5" t="str">
        <f>IFERROR(VLOOKUP($A89,'onix-metadata-strings'!$D$2:$E$982,2,FALSE),"")</f>
        <v>Without background sounds</v>
      </c>
      <c r="F89" s="2"/>
    </row>
    <row r="90" spans="1:6" x14ac:dyDescent="0.2">
      <c r="B90" s="5" t="str">
        <f>IFERROR(VLOOKUP($A90&amp;"-compact",'guidelines-string'!$A$2:$G$1000,7,FALSE),"")</f>
        <v/>
      </c>
      <c r="C90" s="5" t="str">
        <f>IFERROR(VLOOKUP($A90,'epub-metadata-strings'!$D$2:$E$978,2,FALSE),"")</f>
        <v/>
      </c>
      <c r="D90" s="2"/>
      <c r="E90" s="5" t="str">
        <f>IFERROR(VLOOKUP($A90,'onix-metadata-strings'!$D$2:$E$982,2,FALSE),"")</f>
        <v/>
      </c>
      <c r="F90" s="2"/>
    </row>
    <row r="91" spans="1:6" x14ac:dyDescent="0.2">
      <c r="B91" s="5" t="str">
        <f>IFERROR(VLOOKUP($A91&amp;"-compact",'guidelines-string'!$A$2:$G$1000,7,FALSE),"")</f>
        <v/>
      </c>
      <c r="C91" s="5" t="str">
        <f>IFERROR(VLOOKUP($A91,'epub-metadata-strings'!$D$2:$E$978,2,FALSE),"")</f>
        <v/>
      </c>
      <c r="D91" s="2"/>
      <c r="E91" s="5" t="str">
        <f>IFERROR(VLOOKUP($A91,'onix-metadata-strings'!$D$2:$E$982,2,FALSE),"")</f>
        <v/>
      </c>
      <c r="F91" s="2"/>
    </row>
    <row r="92" spans="1:6" x14ac:dyDescent="0.2">
      <c r="B92" s="5" t="str">
        <f>IFERROR(VLOOKUP($A92&amp;"-compact",'guidelines-string'!$A$2:$G$1000,7,FALSE),"")</f>
        <v/>
      </c>
      <c r="C92" s="5" t="str">
        <f>IFERROR(VLOOKUP($A92,'epub-metadata-strings'!$D$2:$E$978,2,FALSE),"")</f>
        <v/>
      </c>
      <c r="D92" s="2"/>
      <c r="E92" s="5" t="str">
        <f>IFERROR(VLOOKUP($A92,'onix-metadata-strings'!$D$2:$E$982,2,FALSE),"")</f>
        <v/>
      </c>
      <c r="F92" s="2"/>
    </row>
    <row r="93" spans="1:6" x14ac:dyDescent="0.2">
      <c r="B93" s="5" t="str">
        <f>IFERROR(VLOOKUP($A93&amp;"-compact",'guidelines-string'!$A$2:$G$1000,7,FALSE),"")</f>
        <v/>
      </c>
      <c r="C93" s="5" t="str">
        <f>IFERROR(VLOOKUP($A93,'epub-metadata-strings'!$D$2:$E$978,2,FALSE),"")</f>
        <v/>
      </c>
      <c r="D93" s="2"/>
      <c r="E93" s="5" t="str">
        <f>IFERROR(VLOOKUP($A93,'onix-metadata-strings'!$D$2:$E$982,2,FALSE),"")</f>
        <v/>
      </c>
      <c r="F93" s="2"/>
    </row>
    <row r="94" spans="1:6" x14ac:dyDescent="0.2">
      <c r="B94" s="2"/>
      <c r="C94" s="2"/>
      <c r="D94" s="2"/>
      <c r="E94" s="5" t="str">
        <f>IFERROR(VLOOKUP($A94,'onix-metadata-strings'!$D$2:$E$982,2,FALSE),"")</f>
        <v/>
      </c>
      <c r="F94" s="2"/>
    </row>
    <row r="95" spans="1:6" x14ac:dyDescent="0.2">
      <c r="B95" s="2"/>
      <c r="C95" s="2"/>
      <c r="D95" s="2"/>
      <c r="E95" s="2"/>
      <c r="F95" s="2"/>
    </row>
    <row r="96" spans="1:6" x14ac:dyDescent="0.2">
      <c r="B96" s="2"/>
      <c r="C96" s="2"/>
      <c r="D96" s="2"/>
      <c r="E96" s="2"/>
      <c r="F96" s="2"/>
    </row>
    <row r="97" spans="2:6" x14ac:dyDescent="0.2">
      <c r="B97" s="2"/>
      <c r="C97" s="2"/>
      <c r="D97" s="2"/>
      <c r="E97" s="2"/>
      <c r="F97" s="2"/>
    </row>
    <row r="98" spans="2:6" x14ac:dyDescent="0.2">
      <c r="B98" s="2"/>
      <c r="C98" s="2"/>
      <c r="D98" s="2"/>
      <c r="E98" s="2"/>
      <c r="F98" s="2"/>
    </row>
    <row r="99" spans="2:6" x14ac:dyDescent="0.2">
      <c r="B99" s="2"/>
      <c r="C99" s="2"/>
      <c r="D99" s="2"/>
      <c r="E99" s="2"/>
      <c r="F99" s="2"/>
    </row>
    <row r="100" spans="2:6" x14ac:dyDescent="0.2">
      <c r="B100" s="2"/>
      <c r="C100" s="2"/>
      <c r="D100" s="2"/>
      <c r="E100" s="2"/>
      <c r="F100" s="2"/>
    </row>
    <row r="101" spans="2:6" x14ac:dyDescent="0.2">
      <c r="B101" s="2"/>
      <c r="C101" s="2"/>
      <c r="D101" s="2"/>
      <c r="E101" s="2"/>
      <c r="F101" s="2"/>
    </row>
    <row r="102" spans="2:6" x14ac:dyDescent="0.2">
      <c r="B102" s="2"/>
      <c r="C102" s="2"/>
      <c r="D102" s="2"/>
      <c r="E102" s="2"/>
      <c r="F102" s="2"/>
    </row>
    <row r="103" spans="2:6" x14ac:dyDescent="0.2">
      <c r="B103" s="2"/>
      <c r="C103" s="2"/>
      <c r="D103" s="2"/>
      <c r="E103" s="2"/>
      <c r="F103" s="2"/>
    </row>
    <row r="104" spans="2:6" x14ac:dyDescent="0.2">
      <c r="B104" s="2"/>
      <c r="C104" s="2"/>
      <c r="D104" s="2"/>
      <c r="E104" s="2"/>
      <c r="F104" s="2"/>
    </row>
    <row r="105" spans="2:6" x14ac:dyDescent="0.2">
      <c r="B105" s="2"/>
      <c r="C105" s="2"/>
      <c r="D105" s="2"/>
      <c r="E105" s="2"/>
      <c r="F105" s="2"/>
    </row>
    <row r="106" spans="2:6" x14ac:dyDescent="0.2">
      <c r="B106" s="2"/>
      <c r="C106" s="2"/>
      <c r="D106" s="2"/>
      <c r="E106" s="2"/>
      <c r="F106" s="2"/>
    </row>
    <row r="107" spans="2:6" x14ac:dyDescent="0.2">
      <c r="B107" s="2"/>
      <c r="C107" s="2"/>
      <c r="D107" s="2"/>
      <c r="E107" s="2"/>
      <c r="F107" s="2"/>
    </row>
    <row r="108" spans="2:6" x14ac:dyDescent="0.2">
      <c r="B108" s="2"/>
      <c r="C108" s="2"/>
      <c r="D108" s="2"/>
      <c r="E108" s="2"/>
      <c r="F108" s="2"/>
    </row>
    <row r="109" spans="2:6" x14ac:dyDescent="0.2">
      <c r="B109" s="2"/>
      <c r="C109" s="2"/>
      <c r="D109" s="2"/>
      <c r="E109" s="2"/>
      <c r="F109" s="2"/>
    </row>
    <row r="110" spans="2:6" x14ac:dyDescent="0.2">
      <c r="B110" s="2"/>
      <c r="C110" s="2"/>
      <c r="D110" s="2"/>
      <c r="E110" s="2"/>
      <c r="F110" s="2"/>
    </row>
    <row r="111" spans="2:6" x14ac:dyDescent="0.2">
      <c r="B111" s="2"/>
      <c r="C111" s="2"/>
      <c r="D111" s="2"/>
      <c r="E111" s="2"/>
      <c r="F111" s="2"/>
    </row>
    <row r="112" spans="2:6" x14ac:dyDescent="0.2">
      <c r="B112" s="2"/>
      <c r="C112" s="2"/>
      <c r="D112" s="2"/>
      <c r="E112" s="2"/>
      <c r="F112" s="2"/>
    </row>
    <row r="113" spans="2:6" x14ac:dyDescent="0.2">
      <c r="B113" s="2"/>
      <c r="C113" s="2"/>
      <c r="D113" s="2"/>
      <c r="E113" s="2"/>
      <c r="F113" s="2"/>
    </row>
    <row r="114" spans="2:6" x14ac:dyDescent="0.2">
      <c r="B114" s="2"/>
      <c r="C114" s="2"/>
      <c r="D114" s="2"/>
      <c r="E114" s="2"/>
      <c r="F114" s="2"/>
    </row>
    <row r="115" spans="2:6" x14ac:dyDescent="0.2">
      <c r="B115" s="2"/>
      <c r="C115" s="2"/>
      <c r="D115" s="2"/>
      <c r="E115" s="2"/>
      <c r="F115" s="2"/>
    </row>
    <row r="116" spans="2:6" x14ac:dyDescent="0.2">
      <c r="B116" s="2"/>
      <c r="C116" s="2"/>
      <c r="D116" s="2"/>
      <c r="E116" s="2"/>
      <c r="F116" s="2"/>
    </row>
    <row r="117" spans="2:6" x14ac:dyDescent="0.2">
      <c r="B117" s="2"/>
      <c r="C117" s="2"/>
      <c r="D117" s="2"/>
      <c r="E117" s="2"/>
      <c r="F117" s="2"/>
    </row>
    <row r="118" spans="2:6" x14ac:dyDescent="0.2">
      <c r="B118" s="2"/>
      <c r="C118" s="2"/>
      <c r="D118" s="2"/>
      <c r="E118" s="2"/>
      <c r="F118" s="2"/>
    </row>
    <row r="119" spans="2:6" x14ac:dyDescent="0.2">
      <c r="B119" s="2"/>
      <c r="C119" s="2"/>
      <c r="D119" s="2"/>
      <c r="E119" s="2"/>
      <c r="F119" s="2"/>
    </row>
    <row r="120" spans="2:6" x14ac:dyDescent="0.2">
      <c r="B120" s="2"/>
      <c r="C120" s="2"/>
      <c r="D120" s="2"/>
      <c r="E120" s="2"/>
      <c r="F120" s="2"/>
    </row>
    <row r="121" spans="2:6" x14ac:dyDescent="0.2">
      <c r="B121" s="2"/>
      <c r="C121" s="2"/>
      <c r="D121" s="2"/>
      <c r="E121" s="2"/>
      <c r="F121" s="2"/>
    </row>
    <row r="122" spans="2:6" x14ac:dyDescent="0.2">
      <c r="B122" s="2"/>
      <c r="C122" s="2"/>
      <c r="D122" s="2"/>
      <c r="E122" s="2"/>
      <c r="F122" s="2"/>
    </row>
    <row r="123" spans="2:6" x14ac:dyDescent="0.2">
      <c r="B123" s="2"/>
      <c r="C123" s="2"/>
      <c r="D123" s="2"/>
      <c r="E123" s="2"/>
      <c r="F123" s="2"/>
    </row>
    <row r="124" spans="2:6" x14ac:dyDescent="0.2">
      <c r="B124" s="2"/>
      <c r="C124" s="2"/>
      <c r="D124" s="2"/>
      <c r="E124" s="2"/>
      <c r="F124" s="2"/>
    </row>
    <row r="125" spans="2:6" x14ac:dyDescent="0.2">
      <c r="B125" s="2"/>
      <c r="C125" s="2"/>
      <c r="D125" s="2"/>
      <c r="E125" s="2"/>
      <c r="F125" s="2"/>
    </row>
    <row r="126" spans="2:6" x14ac:dyDescent="0.2">
      <c r="B126" s="2"/>
      <c r="C126" s="2"/>
      <c r="D126" s="2"/>
      <c r="E126" s="2"/>
      <c r="F126" s="2"/>
    </row>
    <row r="127" spans="2:6" x14ac:dyDescent="0.2">
      <c r="B127" s="2"/>
      <c r="C127" s="2"/>
      <c r="D127" s="2"/>
      <c r="E127" s="2"/>
      <c r="F127" s="2"/>
    </row>
  </sheetData>
  <autoFilter ref="A1:F94" xr:uid="{3A9EDDE9-AF31-2D43-AC52-4CD1D03679BB}"/>
  <conditionalFormatting sqref="D2:D85">
    <cfRule type="cellIs" dxfId="3" priority="3" operator="equal">
      <formula>FALSE</formula>
    </cfRule>
    <cfRule type="cellIs" dxfId="2" priority="4" operator="equal">
      <formula>TRUE</formula>
    </cfRule>
  </conditionalFormatting>
  <conditionalFormatting sqref="F2:F85">
    <cfRule type="cellIs" dxfId="1" priority="1" operator="equal">
      <formula>FALSE</formula>
    </cfRule>
    <cfRule type="cellIs" dxfId="0" priority="2" operator="equal">
      <formula>TRUE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AE526-051A-2147-9F70-F78890C8D07D}">
  <dimension ref="A1:G191"/>
  <sheetViews>
    <sheetView topLeftCell="A176" workbookViewId="0">
      <selection activeCell="E193" sqref="E193"/>
    </sheetView>
  </sheetViews>
  <sheetFormatPr baseColWidth="10" defaultRowHeight="16" x14ac:dyDescent="0.2"/>
  <cols>
    <col min="1" max="1" width="50.83203125" bestFit="1" customWidth="1"/>
    <col min="5" max="5" width="40" bestFit="1" customWidth="1"/>
    <col min="6" max="6" width="17.6640625" bestFit="1" customWidth="1"/>
  </cols>
  <sheetData>
    <row r="1" spans="1:7" x14ac:dyDescent="0.2">
      <c r="A1" s="4" t="s">
        <v>61</v>
      </c>
      <c r="B1" t="s">
        <v>37</v>
      </c>
      <c r="C1" t="s">
        <v>38</v>
      </c>
      <c r="D1" t="s">
        <v>39</v>
      </c>
      <c r="E1" t="s">
        <v>40</v>
      </c>
      <c r="F1" t="s">
        <v>55</v>
      </c>
      <c r="G1" t="s">
        <v>41</v>
      </c>
    </row>
    <row r="2" spans="1:7" x14ac:dyDescent="0.2">
      <c r="A2" s="3" t="str">
        <f>E2&amp;"-"&amp;IF(ISBLANK(F2),"compact",F2)</f>
        <v>ways-of-reading-title-compact</v>
      </c>
      <c r="C2" t="s">
        <v>42</v>
      </c>
      <c r="D2" t="s">
        <v>43</v>
      </c>
      <c r="E2" t="s">
        <v>133</v>
      </c>
      <c r="G2" t="s">
        <v>134</v>
      </c>
    </row>
    <row r="3" spans="1:7" x14ac:dyDescent="0.2">
      <c r="A3" s="3" t="str">
        <f t="shared" ref="A3:A66" si="0">E3&amp;"-"&amp;IF(ISBLANK(F3),"compact",F3)</f>
        <v>ways-of-reading-title-compact</v>
      </c>
      <c r="D3" t="s">
        <v>43</v>
      </c>
      <c r="E3" t="s">
        <v>133</v>
      </c>
      <c r="G3" t="s">
        <v>134</v>
      </c>
    </row>
    <row r="4" spans="1:7" x14ac:dyDescent="0.2">
      <c r="A4" s="3" t="str">
        <f t="shared" si="0"/>
        <v>ways-of-reading-visual-adjustments-modifiable-compact</v>
      </c>
      <c r="D4" t="s">
        <v>43</v>
      </c>
      <c r="E4" t="s">
        <v>135</v>
      </c>
      <c r="F4" t="s">
        <v>57</v>
      </c>
      <c r="G4" t="s">
        <v>36</v>
      </c>
    </row>
    <row r="5" spans="1:7" x14ac:dyDescent="0.2">
      <c r="A5" s="3" t="str">
        <f t="shared" si="0"/>
        <v>ways-of-reading-visual-adjustments-modifiable-descriptive</v>
      </c>
      <c r="D5" t="s">
        <v>43</v>
      </c>
      <c r="E5" t="s">
        <v>135</v>
      </c>
      <c r="F5" t="s">
        <v>56</v>
      </c>
      <c r="G5" t="s">
        <v>67</v>
      </c>
    </row>
    <row r="6" spans="1:7" x14ac:dyDescent="0.2">
      <c r="A6" s="3" t="str">
        <f t="shared" si="0"/>
        <v>ways-of-reading-visual-adjustments-unmodifiable-compact</v>
      </c>
      <c r="D6" t="s">
        <v>43</v>
      </c>
      <c r="E6" t="s">
        <v>136</v>
      </c>
      <c r="F6" t="s">
        <v>57</v>
      </c>
      <c r="G6" t="s">
        <v>1</v>
      </c>
    </row>
    <row r="7" spans="1:7" x14ac:dyDescent="0.2">
      <c r="A7" s="3" t="str">
        <f t="shared" si="0"/>
        <v>ways-of-reading-visual-adjustments-unmodifiable-descriptive</v>
      </c>
      <c r="D7" t="s">
        <v>43</v>
      </c>
      <c r="E7" t="s">
        <v>136</v>
      </c>
      <c r="F7" t="s">
        <v>56</v>
      </c>
      <c r="G7" t="s">
        <v>68</v>
      </c>
    </row>
    <row r="8" spans="1:7" x14ac:dyDescent="0.2">
      <c r="A8" s="3" t="str">
        <f t="shared" si="0"/>
        <v>ways-of-reading-visual-adjustments-unknown-compact</v>
      </c>
      <c r="D8" t="s">
        <v>43</v>
      </c>
      <c r="E8" t="s">
        <v>137</v>
      </c>
      <c r="F8" t="s">
        <v>57</v>
      </c>
      <c r="G8" t="s">
        <v>138</v>
      </c>
    </row>
    <row r="9" spans="1:7" x14ac:dyDescent="0.2">
      <c r="A9" s="3" t="str">
        <f t="shared" si="0"/>
        <v>ways-of-reading-visual-adjustments-unknown-descriptive</v>
      </c>
      <c r="D9" t="s">
        <v>43</v>
      </c>
      <c r="E9" t="s">
        <v>137</v>
      </c>
      <c r="F9" t="s">
        <v>56</v>
      </c>
      <c r="G9" t="s">
        <v>138</v>
      </c>
    </row>
    <row r="10" spans="1:7" x14ac:dyDescent="0.2">
      <c r="A10" s="3" t="str">
        <f t="shared" si="0"/>
        <v>ways-of-reading-nonvisual-reading-readable-compact</v>
      </c>
      <c r="D10" t="s">
        <v>43</v>
      </c>
      <c r="E10" t="s">
        <v>141</v>
      </c>
      <c r="F10" t="s">
        <v>57</v>
      </c>
      <c r="G10" t="s">
        <v>78</v>
      </c>
    </row>
    <row r="11" spans="1:7" x14ac:dyDescent="0.2">
      <c r="A11" s="3" t="str">
        <f t="shared" si="0"/>
        <v>ways-of-reading-nonvisual-reading-readable-descriptive</v>
      </c>
      <c r="D11" t="s">
        <v>43</v>
      </c>
      <c r="E11" t="s">
        <v>141</v>
      </c>
      <c r="F11" t="s">
        <v>56</v>
      </c>
      <c r="G11" t="s">
        <v>76</v>
      </c>
    </row>
    <row r="12" spans="1:7" x14ac:dyDescent="0.2">
      <c r="A12" s="3" t="str">
        <f t="shared" si="0"/>
        <v>ways-of-reading-nonvisual-reading-not-fully-compact</v>
      </c>
      <c r="D12" t="s">
        <v>43</v>
      </c>
      <c r="E12" t="s">
        <v>142</v>
      </c>
      <c r="F12" t="s">
        <v>57</v>
      </c>
      <c r="G12" t="s">
        <v>79</v>
      </c>
    </row>
    <row r="13" spans="1:7" x14ac:dyDescent="0.2">
      <c r="A13" s="3" t="str">
        <f t="shared" si="0"/>
        <v>ways-of-reading-nonvisual-reading-not-fully-descriptive</v>
      </c>
      <c r="D13" t="s">
        <v>43</v>
      </c>
      <c r="E13" t="s">
        <v>142</v>
      </c>
      <c r="F13" t="s">
        <v>56</v>
      </c>
      <c r="G13" t="s">
        <v>77</v>
      </c>
    </row>
    <row r="14" spans="1:7" x14ac:dyDescent="0.2">
      <c r="A14" s="3" t="str">
        <f t="shared" si="0"/>
        <v>ways-of-reading-nonvisual-reading-none-compact</v>
      </c>
      <c r="D14" t="s">
        <v>43</v>
      </c>
      <c r="E14" t="s">
        <v>185</v>
      </c>
      <c r="F14" t="s">
        <v>57</v>
      </c>
      <c r="G14" t="s">
        <v>186</v>
      </c>
    </row>
    <row r="15" spans="1:7" x14ac:dyDescent="0.2">
      <c r="A15" s="3" t="str">
        <f t="shared" si="0"/>
        <v>ways-of-reading-nonvisual-reading-none-descriptive</v>
      </c>
      <c r="D15" t="s">
        <v>43</v>
      </c>
      <c r="E15" t="s">
        <v>185</v>
      </c>
      <c r="F15" t="s">
        <v>56</v>
      </c>
      <c r="G15" t="s">
        <v>187</v>
      </c>
    </row>
    <row r="16" spans="1:7" x14ac:dyDescent="0.2">
      <c r="A16" s="3" t="str">
        <f t="shared" si="0"/>
        <v>ways-of-reading-nonvisual-reading-no-metadata-compact</v>
      </c>
      <c r="D16" t="s">
        <v>43</v>
      </c>
      <c r="E16" t="s">
        <v>188</v>
      </c>
      <c r="F16" t="s">
        <v>57</v>
      </c>
      <c r="G16" t="s">
        <v>189</v>
      </c>
    </row>
    <row r="17" spans="1:7" x14ac:dyDescent="0.2">
      <c r="A17" s="3" t="str">
        <f t="shared" si="0"/>
        <v>ways-of-reading-nonvisual-reading-no-metadata-descriptive</v>
      </c>
      <c r="D17" t="s">
        <v>43</v>
      </c>
      <c r="E17" t="s">
        <v>188</v>
      </c>
      <c r="F17" t="s">
        <v>56</v>
      </c>
      <c r="G17" t="s">
        <v>189</v>
      </c>
    </row>
    <row r="18" spans="1:7" x14ac:dyDescent="0.2">
      <c r="A18" s="3" t="str">
        <f t="shared" si="0"/>
        <v>ways-of-reading-nonvisual-reading-alt-text-compact</v>
      </c>
      <c r="D18" t="s">
        <v>43</v>
      </c>
      <c r="E18" t="s">
        <v>139</v>
      </c>
      <c r="F18" t="s">
        <v>57</v>
      </c>
      <c r="G18" t="s">
        <v>143</v>
      </c>
    </row>
    <row r="19" spans="1:7" x14ac:dyDescent="0.2">
      <c r="A19" s="3" t="str">
        <f t="shared" si="0"/>
        <v>ways-of-reading-nonvisual-reading-alt-text-descriptive</v>
      </c>
      <c r="D19" t="s">
        <v>43</v>
      </c>
      <c r="E19" t="s">
        <v>139</v>
      </c>
      <c r="F19" t="s">
        <v>56</v>
      </c>
      <c r="G19" t="s">
        <v>140</v>
      </c>
    </row>
    <row r="20" spans="1:7" x14ac:dyDescent="0.2">
      <c r="A20" s="3" t="str">
        <f t="shared" si="0"/>
        <v>ways-of-reading-prerecorded-audio-no-metadata-descriptive</v>
      </c>
      <c r="D20" t="s">
        <v>43</v>
      </c>
      <c r="E20" t="s">
        <v>147</v>
      </c>
      <c r="F20" t="s">
        <v>56</v>
      </c>
      <c r="G20" t="s">
        <v>148</v>
      </c>
    </row>
    <row r="21" spans="1:7" x14ac:dyDescent="0.2">
      <c r="A21" s="3" t="str">
        <f t="shared" si="0"/>
        <v>ways-of-reading-prerecorded-audio-only-compact</v>
      </c>
      <c r="D21" t="s">
        <v>43</v>
      </c>
      <c r="E21" t="s">
        <v>144</v>
      </c>
      <c r="F21" t="s">
        <v>57</v>
      </c>
      <c r="G21" t="s">
        <v>153</v>
      </c>
    </row>
    <row r="22" spans="1:7" x14ac:dyDescent="0.2">
      <c r="A22" s="3" t="str">
        <f t="shared" si="0"/>
        <v>ways-of-reading-prerecorded-audio-only-descriptive</v>
      </c>
      <c r="D22" t="s">
        <v>43</v>
      </c>
      <c r="E22" t="s">
        <v>144</v>
      </c>
      <c r="F22" t="s">
        <v>56</v>
      </c>
      <c r="G22" t="s">
        <v>72</v>
      </c>
    </row>
    <row r="23" spans="1:7" x14ac:dyDescent="0.2">
      <c r="A23" s="3" t="str">
        <f t="shared" si="0"/>
        <v>ways-of-reading-prerecorded-audio-synchronized-compact</v>
      </c>
      <c r="D23" t="s">
        <v>43</v>
      </c>
      <c r="E23" t="s">
        <v>145</v>
      </c>
      <c r="F23" t="s">
        <v>57</v>
      </c>
      <c r="G23" t="s">
        <v>84</v>
      </c>
    </row>
    <row r="24" spans="1:7" x14ac:dyDescent="0.2">
      <c r="A24" s="3" t="str">
        <f t="shared" si="0"/>
        <v>ways-of-reading-prerecorded-audio-synchronized-descriptive</v>
      </c>
      <c r="D24" t="s">
        <v>43</v>
      </c>
      <c r="E24" t="s">
        <v>145</v>
      </c>
      <c r="F24" t="s">
        <v>56</v>
      </c>
      <c r="G24" t="s">
        <v>83</v>
      </c>
    </row>
    <row r="25" spans="1:7" x14ac:dyDescent="0.2">
      <c r="A25" s="3" t="str">
        <f t="shared" si="0"/>
        <v>ways-of-reading-prerecorded-audio-complementary-compact</v>
      </c>
      <c r="D25" t="s">
        <v>43</v>
      </c>
      <c r="E25" t="s">
        <v>146</v>
      </c>
      <c r="F25" t="s">
        <v>57</v>
      </c>
      <c r="G25" t="s">
        <v>190</v>
      </c>
    </row>
    <row r="26" spans="1:7" x14ac:dyDescent="0.2">
      <c r="A26" s="3" t="str">
        <f t="shared" si="0"/>
        <v>ways-of-reading-prerecorded-audio-complementary-descriptive</v>
      </c>
      <c r="D26" t="s">
        <v>43</v>
      </c>
      <c r="E26" t="s">
        <v>146</v>
      </c>
      <c r="F26" t="s">
        <v>56</v>
      </c>
      <c r="G26" t="s">
        <v>191</v>
      </c>
    </row>
    <row r="27" spans="1:7" x14ac:dyDescent="0.2">
      <c r="A27" s="3" t="str">
        <f t="shared" si="0"/>
        <v>ways-of-reading-prerecorded-audio-no-metadata-compact</v>
      </c>
      <c r="D27" t="s">
        <v>43</v>
      </c>
      <c r="E27" t="s">
        <v>147</v>
      </c>
      <c r="F27" t="s">
        <v>57</v>
      </c>
      <c r="G27" t="s">
        <v>148</v>
      </c>
    </row>
    <row r="28" spans="1:7" x14ac:dyDescent="0.2">
      <c r="A28" s="3" t="str">
        <f t="shared" si="0"/>
        <v>ways-of-reading-prerecorded-audio-no-metadata-descriptive</v>
      </c>
      <c r="D28" t="s">
        <v>43</v>
      </c>
      <c r="E28" t="s">
        <v>147</v>
      </c>
      <c r="F28" t="s">
        <v>56</v>
      </c>
      <c r="G28" t="s">
        <v>148</v>
      </c>
    </row>
    <row r="29" spans="1:7" x14ac:dyDescent="0.2">
      <c r="A29" s="3" t="str">
        <f t="shared" si="0"/>
        <v>ways-of-reading-title-compact</v>
      </c>
      <c r="D29" t="s">
        <v>43</v>
      </c>
      <c r="E29" t="s">
        <v>133</v>
      </c>
      <c r="G29" t="s">
        <v>134</v>
      </c>
    </row>
    <row r="30" spans="1:7" x14ac:dyDescent="0.2">
      <c r="A30" s="3" t="str">
        <f t="shared" si="0"/>
        <v>ways-of-reading-visual-adjustments-modifiable-compact</v>
      </c>
      <c r="D30" t="s">
        <v>43</v>
      </c>
      <c r="E30" t="s">
        <v>135</v>
      </c>
      <c r="F30" t="s">
        <v>57</v>
      </c>
      <c r="G30" t="s">
        <v>36</v>
      </c>
    </row>
    <row r="31" spans="1:7" x14ac:dyDescent="0.2">
      <c r="A31" s="3" t="str">
        <f t="shared" si="0"/>
        <v>ways-of-reading-nonvisual-reading-readable-compact</v>
      </c>
      <c r="D31" t="s">
        <v>43</v>
      </c>
      <c r="E31" t="s">
        <v>141</v>
      </c>
      <c r="F31" t="s">
        <v>57</v>
      </c>
      <c r="G31" t="s">
        <v>78</v>
      </c>
    </row>
    <row r="32" spans="1:7" x14ac:dyDescent="0.2">
      <c r="A32" s="3" t="str">
        <f t="shared" si="0"/>
        <v>ways-of-reading-nonvisual-reading-alt-text-compact</v>
      </c>
      <c r="D32" t="s">
        <v>43</v>
      </c>
      <c r="E32" t="s">
        <v>139</v>
      </c>
      <c r="F32" t="s">
        <v>57</v>
      </c>
      <c r="G32" t="s">
        <v>143</v>
      </c>
    </row>
    <row r="33" spans="1:7" x14ac:dyDescent="0.2">
      <c r="A33" s="3" t="str">
        <f t="shared" si="0"/>
        <v>ways-of-reading-title-compact</v>
      </c>
      <c r="D33" t="s">
        <v>43</v>
      </c>
      <c r="E33" t="s">
        <v>133</v>
      </c>
      <c r="G33" t="s">
        <v>134</v>
      </c>
    </row>
    <row r="34" spans="1:7" x14ac:dyDescent="0.2">
      <c r="A34" s="3" t="str">
        <f t="shared" si="0"/>
        <v>ways-of-reading-visual-adjustments-modifiable-descriptive</v>
      </c>
      <c r="D34" t="s">
        <v>43</v>
      </c>
      <c r="E34" t="s">
        <v>135</v>
      </c>
      <c r="F34" t="s">
        <v>56</v>
      </c>
      <c r="G34" t="s">
        <v>67</v>
      </c>
    </row>
    <row r="35" spans="1:7" x14ac:dyDescent="0.2">
      <c r="A35" s="3" t="str">
        <f t="shared" si="0"/>
        <v>ways-of-reading-nonvisual-reading-readable-descriptive</v>
      </c>
      <c r="D35" t="s">
        <v>43</v>
      </c>
      <c r="E35" t="s">
        <v>141</v>
      </c>
      <c r="F35" t="s">
        <v>56</v>
      </c>
      <c r="G35" t="s">
        <v>76</v>
      </c>
    </row>
    <row r="36" spans="1:7" x14ac:dyDescent="0.2">
      <c r="A36" s="3" t="str">
        <f t="shared" si="0"/>
        <v>ways-of-reading-nonvisual-reading-alt-text-descriptive</v>
      </c>
      <c r="D36" t="s">
        <v>43</v>
      </c>
      <c r="E36" t="s">
        <v>139</v>
      </c>
      <c r="F36" t="s">
        <v>56</v>
      </c>
      <c r="G36" t="s">
        <v>140</v>
      </c>
    </row>
    <row r="37" spans="1:7" x14ac:dyDescent="0.2">
      <c r="A37" s="3" t="str">
        <f t="shared" si="0"/>
        <v>ways-of-reading-title-compact</v>
      </c>
      <c r="D37" t="s">
        <v>43</v>
      </c>
      <c r="E37" t="s">
        <v>133</v>
      </c>
      <c r="G37" t="s">
        <v>134</v>
      </c>
    </row>
    <row r="38" spans="1:7" x14ac:dyDescent="0.2">
      <c r="A38" s="3" t="str">
        <f t="shared" si="0"/>
        <v>ways-of-reading-visual-adjustments-modifiable-compact</v>
      </c>
      <c r="D38" t="s">
        <v>43</v>
      </c>
      <c r="E38" t="s">
        <v>135</v>
      </c>
      <c r="F38" t="s">
        <v>57</v>
      </c>
      <c r="G38" t="s">
        <v>36</v>
      </c>
    </row>
    <row r="39" spans="1:7" x14ac:dyDescent="0.2">
      <c r="A39" s="3" t="str">
        <f t="shared" si="0"/>
        <v>ways-of-reading-nonvisual-reading-readable-compact</v>
      </c>
      <c r="D39" t="s">
        <v>43</v>
      </c>
      <c r="E39" t="s">
        <v>141</v>
      </c>
      <c r="F39" t="s">
        <v>57</v>
      </c>
      <c r="G39" t="s">
        <v>78</v>
      </c>
    </row>
    <row r="40" spans="1:7" x14ac:dyDescent="0.2">
      <c r="A40" s="3" t="str">
        <f t="shared" si="0"/>
        <v>ways-of-reading-prerecorded-audio-synchronized-compact</v>
      </c>
      <c r="D40" t="s">
        <v>43</v>
      </c>
      <c r="E40" t="s">
        <v>145</v>
      </c>
      <c r="F40" t="s">
        <v>57</v>
      </c>
      <c r="G40" t="s">
        <v>84</v>
      </c>
    </row>
    <row r="41" spans="1:7" x14ac:dyDescent="0.2">
      <c r="A41" s="3" t="str">
        <f t="shared" si="0"/>
        <v>ways-of-reading-nonvisual-reading-alt-text-compact</v>
      </c>
      <c r="D41" t="s">
        <v>43</v>
      </c>
      <c r="E41" t="s">
        <v>139</v>
      </c>
      <c r="F41" t="s">
        <v>57</v>
      </c>
      <c r="G41" t="s">
        <v>143</v>
      </c>
    </row>
    <row r="42" spans="1:7" x14ac:dyDescent="0.2">
      <c r="A42" s="3" t="str">
        <f t="shared" si="0"/>
        <v>ways-of-reading-title-compact</v>
      </c>
      <c r="D42" t="s">
        <v>43</v>
      </c>
      <c r="E42" t="s">
        <v>133</v>
      </c>
      <c r="G42" t="s">
        <v>134</v>
      </c>
    </row>
    <row r="43" spans="1:7" x14ac:dyDescent="0.2">
      <c r="A43" s="3" t="str">
        <f t="shared" si="0"/>
        <v>ways-of-reading-visual-adjustments-modifiable-descriptive</v>
      </c>
      <c r="D43" t="s">
        <v>43</v>
      </c>
      <c r="E43" t="s">
        <v>135</v>
      </c>
      <c r="F43" t="s">
        <v>56</v>
      </c>
      <c r="G43" t="s">
        <v>67</v>
      </c>
    </row>
    <row r="44" spans="1:7" x14ac:dyDescent="0.2">
      <c r="A44" s="3" t="str">
        <f t="shared" si="0"/>
        <v>ways-of-reading-nonvisual-reading-readable-descriptive</v>
      </c>
      <c r="D44" t="s">
        <v>43</v>
      </c>
      <c r="E44" t="s">
        <v>141</v>
      </c>
      <c r="F44" t="s">
        <v>56</v>
      </c>
      <c r="G44" t="s">
        <v>76</v>
      </c>
    </row>
    <row r="45" spans="1:7" x14ac:dyDescent="0.2">
      <c r="A45" s="3" t="str">
        <f t="shared" si="0"/>
        <v>ways-of-reading-prerecorded-audio-synchronized-descriptive</v>
      </c>
      <c r="D45" t="s">
        <v>43</v>
      </c>
      <c r="E45" t="s">
        <v>145</v>
      </c>
      <c r="F45" t="s">
        <v>56</v>
      </c>
      <c r="G45" t="s">
        <v>83</v>
      </c>
    </row>
    <row r="46" spans="1:7" x14ac:dyDescent="0.2">
      <c r="A46" s="3" t="str">
        <f t="shared" si="0"/>
        <v>ways-of-reading-nonvisual-reading-alt-text-descriptive</v>
      </c>
      <c r="D46" t="s">
        <v>43</v>
      </c>
      <c r="E46" t="s">
        <v>139</v>
      </c>
      <c r="F46" t="s">
        <v>56</v>
      </c>
      <c r="G46" t="s">
        <v>140</v>
      </c>
    </row>
    <row r="47" spans="1:7" x14ac:dyDescent="0.2">
      <c r="A47" s="3" t="str">
        <f t="shared" si="0"/>
        <v>conformance-title-compact</v>
      </c>
      <c r="D47" t="s">
        <v>43</v>
      </c>
      <c r="E47" t="s">
        <v>44</v>
      </c>
      <c r="G47" t="s">
        <v>45</v>
      </c>
    </row>
    <row r="48" spans="1:7" x14ac:dyDescent="0.2">
      <c r="A48" s="3" t="str">
        <f t="shared" si="0"/>
        <v>conformance-a-compact</v>
      </c>
      <c r="D48" t="s">
        <v>43</v>
      </c>
      <c r="E48" t="s">
        <v>6</v>
      </c>
      <c r="F48" t="s">
        <v>57</v>
      </c>
      <c r="G48" t="s">
        <v>7</v>
      </c>
    </row>
    <row r="49" spans="1:7" x14ac:dyDescent="0.2">
      <c r="A49" s="3" t="str">
        <f t="shared" si="0"/>
        <v>conformance-a-descriptive</v>
      </c>
      <c r="D49" t="s">
        <v>43</v>
      </c>
      <c r="E49" t="s">
        <v>6</v>
      </c>
      <c r="F49" t="s">
        <v>56</v>
      </c>
      <c r="G49" t="s">
        <v>71</v>
      </c>
    </row>
    <row r="50" spans="1:7" x14ac:dyDescent="0.2">
      <c r="A50" s="3" t="str">
        <f t="shared" si="0"/>
        <v>conformance-aa-compact</v>
      </c>
      <c r="D50" t="s">
        <v>43</v>
      </c>
      <c r="E50" t="s">
        <v>4</v>
      </c>
      <c r="F50" t="s">
        <v>57</v>
      </c>
      <c r="G50" t="s">
        <v>5</v>
      </c>
    </row>
    <row r="51" spans="1:7" x14ac:dyDescent="0.2">
      <c r="A51" s="3" t="str">
        <f t="shared" si="0"/>
        <v>conformance-aa-descriptive</v>
      </c>
      <c r="D51" t="s">
        <v>43</v>
      </c>
      <c r="E51" t="s">
        <v>4</v>
      </c>
      <c r="F51" t="s">
        <v>56</v>
      </c>
      <c r="G51" t="s">
        <v>70</v>
      </c>
    </row>
    <row r="52" spans="1:7" x14ac:dyDescent="0.2">
      <c r="A52" s="3" t="str">
        <f t="shared" si="0"/>
        <v>conformance-aaa-compact</v>
      </c>
      <c r="D52" t="s">
        <v>43</v>
      </c>
      <c r="E52" t="s">
        <v>2</v>
      </c>
      <c r="F52" t="s">
        <v>57</v>
      </c>
      <c r="G52" t="s">
        <v>3</v>
      </c>
    </row>
    <row r="53" spans="1:7" x14ac:dyDescent="0.2">
      <c r="A53" s="3" t="str">
        <f t="shared" si="0"/>
        <v>conformance-aaa-descriptive</v>
      </c>
      <c r="D53" t="s">
        <v>43</v>
      </c>
      <c r="E53" t="s">
        <v>2</v>
      </c>
      <c r="F53" t="s">
        <v>56</v>
      </c>
      <c r="G53" t="s">
        <v>69</v>
      </c>
    </row>
    <row r="54" spans="1:7" x14ac:dyDescent="0.2">
      <c r="A54" s="3" t="str">
        <f t="shared" si="0"/>
        <v>conformance-no-compact</v>
      </c>
      <c r="D54" t="s">
        <v>43</v>
      </c>
      <c r="E54" t="s">
        <v>9</v>
      </c>
      <c r="F54" t="s">
        <v>57</v>
      </c>
      <c r="G54" t="s">
        <v>75</v>
      </c>
    </row>
    <row r="55" spans="1:7" x14ac:dyDescent="0.2">
      <c r="A55" s="3" t="str">
        <f t="shared" si="0"/>
        <v>conformance-no-descriptive</v>
      </c>
      <c r="D55" t="s">
        <v>43</v>
      </c>
      <c r="E55" t="s">
        <v>9</v>
      </c>
      <c r="F55" t="s">
        <v>56</v>
      </c>
      <c r="G55" t="s">
        <v>75</v>
      </c>
    </row>
    <row r="56" spans="1:7" x14ac:dyDescent="0.2">
      <c r="A56" s="3" t="str">
        <f t="shared" si="0"/>
        <v>conformance-certifier-compact</v>
      </c>
      <c r="D56" t="s">
        <v>43</v>
      </c>
      <c r="E56" t="s">
        <v>10</v>
      </c>
      <c r="F56" t="s">
        <v>57</v>
      </c>
      <c r="G56" t="s">
        <v>80</v>
      </c>
    </row>
    <row r="57" spans="1:7" x14ac:dyDescent="0.2">
      <c r="A57" s="3" t="str">
        <f t="shared" si="0"/>
        <v>conformance-certifier-credentials-compact</v>
      </c>
      <c r="D57" t="s">
        <v>43</v>
      </c>
      <c r="E57" t="s">
        <v>11</v>
      </c>
      <c r="F57" t="s">
        <v>57</v>
      </c>
      <c r="G57" t="s">
        <v>12</v>
      </c>
    </row>
    <row r="58" spans="1:7" x14ac:dyDescent="0.2">
      <c r="A58" s="3" t="str">
        <f t="shared" si="0"/>
        <v>conformance-details-claim-compact</v>
      </c>
      <c r="D58" t="s">
        <v>43</v>
      </c>
      <c r="E58" t="s">
        <v>193</v>
      </c>
      <c r="F58" t="s">
        <v>57</v>
      </c>
      <c r="G58" t="s">
        <v>13</v>
      </c>
    </row>
    <row r="59" spans="1:7" x14ac:dyDescent="0.2">
      <c r="A59" s="3" t="str">
        <f t="shared" si="0"/>
        <v>conformance-details-claim-descriptive</v>
      </c>
      <c r="D59" t="s">
        <v>43</v>
      </c>
      <c r="E59" t="s">
        <v>193</v>
      </c>
      <c r="F59" t="s">
        <v>56</v>
      </c>
      <c r="G59" t="s">
        <v>13</v>
      </c>
    </row>
    <row r="60" spans="1:7" x14ac:dyDescent="0.2">
      <c r="A60" s="3" t="str">
        <f t="shared" si="0"/>
        <v>conformance-details-wcag-2-0-descriptive</v>
      </c>
      <c r="D60" t="s">
        <v>43</v>
      </c>
      <c r="E60" t="s">
        <v>201</v>
      </c>
      <c r="F60" t="s">
        <v>56</v>
      </c>
      <c r="G60" t="s">
        <v>217</v>
      </c>
    </row>
    <row r="61" spans="1:7" x14ac:dyDescent="0.2">
      <c r="A61" s="3" t="str">
        <f t="shared" si="0"/>
        <v>conformance-details-wcag-2-1-descriptive</v>
      </c>
      <c r="D61" t="s">
        <v>43</v>
      </c>
      <c r="E61" t="s">
        <v>195</v>
      </c>
      <c r="F61" t="s">
        <v>56</v>
      </c>
      <c r="G61" t="s">
        <v>218</v>
      </c>
    </row>
    <row r="62" spans="1:7" x14ac:dyDescent="0.2">
      <c r="A62" s="3" t="str">
        <f t="shared" si="0"/>
        <v>conformance-details-wcag-2-2-descriptive</v>
      </c>
      <c r="D62" t="s">
        <v>43</v>
      </c>
      <c r="E62" t="s">
        <v>200</v>
      </c>
      <c r="F62" t="s">
        <v>56</v>
      </c>
      <c r="G62" t="s">
        <v>219</v>
      </c>
    </row>
    <row r="63" spans="1:7" x14ac:dyDescent="0.2">
      <c r="A63" s="3" t="str">
        <f t="shared" si="0"/>
        <v>conformance-details-certification-info-compact</v>
      </c>
      <c r="D63" t="s">
        <v>43</v>
      </c>
      <c r="E63" t="s">
        <v>197</v>
      </c>
      <c r="F63" t="s">
        <v>57</v>
      </c>
      <c r="G63" t="s">
        <v>82</v>
      </c>
    </row>
    <row r="64" spans="1:7" x14ac:dyDescent="0.2">
      <c r="A64" s="3" t="str">
        <f t="shared" si="0"/>
        <v>conformance-details-certifier-report-compact</v>
      </c>
      <c r="D64" t="s">
        <v>43</v>
      </c>
      <c r="E64" t="s">
        <v>198</v>
      </c>
      <c r="F64" t="s">
        <v>57</v>
      </c>
      <c r="G64" t="s">
        <v>74</v>
      </c>
    </row>
    <row r="65" spans="1:7" x14ac:dyDescent="0.2">
      <c r="A65" s="3" t="str">
        <f t="shared" si="0"/>
        <v>conformance-title-compact</v>
      </c>
      <c r="D65" t="s">
        <v>43</v>
      </c>
      <c r="E65" t="s">
        <v>44</v>
      </c>
      <c r="G65" t="s">
        <v>45</v>
      </c>
    </row>
    <row r="66" spans="1:7" x14ac:dyDescent="0.2">
      <c r="A66" s="3" t="str">
        <f t="shared" si="0"/>
        <v>conformance-aa-compact</v>
      </c>
      <c r="D66" t="s">
        <v>43</v>
      </c>
      <c r="E66" t="s">
        <v>4</v>
      </c>
      <c r="F66" t="s">
        <v>57</v>
      </c>
      <c r="G66" t="s">
        <v>5</v>
      </c>
    </row>
    <row r="67" spans="1:7" x14ac:dyDescent="0.2">
      <c r="A67" s="3" t="str">
        <f t="shared" ref="A67:A130" si="1">E67&amp;"-"&amp;IF(ISBLANK(F67),"compact",F67)</f>
        <v>conformance-certifier-compact</v>
      </c>
      <c r="D67" t="s">
        <v>43</v>
      </c>
      <c r="E67" t="s">
        <v>10</v>
      </c>
      <c r="F67" t="s">
        <v>57</v>
      </c>
      <c r="G67" t="s">
        <v>80</v>
      </c>
    </row>
    <row r="68" spans="1:7" x14ac:dyDescent="0.2">
      <c r="A68" s="3" t="str">
        <f t="shared" si="1"/>
        <v>conformance-certifier-credentials-compact</v>
      </c>
      <c r="D68" t="s">
        <v>43</v>
      </c>
      <c r="E68" t="s">
        <v>11</v>
      </c>
      <c r="F68" t="s">
        <v>57</v>
      </c>
      <c r="G68" t="s">
        <v>12</v>
      </c>
    </row>
    <row r="69" spans="1:7" x14ac:dyDescent="0.2">
      <c r="A69" s="3" t="str">
        <f t="shared" si="1"/>
        <v>conformance-details-title-compact</v>
      </c>
      <c r="D69" t="s">
        <v>43</v>
      </c>
      <c r="E69" t="s">
        <v>192</v>
      </c>
      <c r="G69" t="s">
        <v>81</v>
      </c>
    </row>
    <row r="70" spans="1:7" x14ac:dyDescent="0.2">
      <c r="A70" s="3" t="str">
        <f t="shared" si="1"/>
        <v>conformance-details-claim-compact</v>
      </c>
      <c r="D70" t="s">
        <v>43</v>
      </c>
      <c r="E70" t="s">
        <v>193</v>
      </c>
      <c r="F70" t="s">
        <v>57</v>
      </c>
      <c r="G70" t="s">
        <v>13</v>
      </c>
    </row>
    <row r="71" spans="1:7" x14ac:dyDescent="0.2">
      <c r="A71" s="3" t="str">
        <f t="shared" si="1"/>
        <v>conformance-details-epub-accessibility-1-1-compact</v>
      </c>
      <c r="D71" t="s">
        <v>43</v>
      </c>
      <c r="E71" t="s">
        <v>194</v>
      </c>
      <c r="F71" t="s">
        <v>57</v>
      </c>
      <c r="G71" t="s">
        <v>15</v>
      </c>
    </row>
    <row r="72" spans="1:7" x14ac:dyDescent="0.2">
      <c r="A72" s="3" t="str">
        <f t="shared" si="1"/>
        <v>conformance-details-wcag-2-1-compact</v>
      </c>
      <c r="D72" t="s">
        <v>43</v>
      </c>
      <c r="E72" t="s">
        <v>195</v>
      </c>
      <c r="F72" t="s">
        <v>57</v>
      </c>
      <c r="G72" t="s">
        <v>17</v>
      </c>
    </row>
    <row r="73" spans="1:7" x14ac:dyDescent="0.2">
      <c r="A73" s="3" t="str">
        <f t="shared" si="1"/>
        <v>conformance-details-level-aa-compact</v>
      </c>
      <c r="D73" t="s">
        <v>43</v>
      </c>
      <c r="E73" t="s">
        <v>196</v>
      </c>
      <c r="F73" t="s">
        <v>57</v>
      </c>
      <c r="G73" t="s">
        <v>20</v>
      </c>
    </row>
    <row r="74" spans="1:7" x14ac:dyDescent="0.2">
      <c r="A74" s="3" t="str">
        <f t="shared" si="1"/>
        <v>conformance-details-certification-info-compact</v>
      </c>
      <c r="D74" t="s">
        <v>43</v>
      </c>
      <c r="E74" t="s">
        <v>197</v>
      </c>
      <c r="F74" t="s">
        <v>57</v>
      </c>
      <c r="G74" t="s">
        <v>82</v>
      </c>
    </row>
    <row r="75" spans="1:7" x14ac:dyDescent="0.2">
      <c r="A75" s="3" t="str">
        <f t="shared" si="1"/>
        <v>conformance-details-certifier-report-compact</v>
      </c>
      <c r="D75" t="s">
        <v>43</v>
      </c>
      <c r="E75" t="s">
        <v>198</v>
      </c>
      <c r="F75" t="s">
        <v>57</v>
      </c>
      <c r="G75" t="s">
        <v>74</v>
      </c>
    </row>
    <row r="76" spans="1:7" x14ac:dyDescent="0.2">
      <c r="A76" s="3" t="str">
        <f t="shared" si="1"/>
        <v>conformance-title-compact</v>
      </c>
      <c r="D76" t="s">
        <v>43</v>
      </c>
      <c r="E76" t="s">
        <v>44</v>
      </c>
      <c r="G76" t="s">
        <v>45</v>
      </c>
    </row>
    <row r="77" spans="1:7" x14ac:dyDescent="0.2">
      <c r="A77" s="3" t="str">
        <f t="shared" si="1"/>
        <v>conformance-aa-descriptive</v>
      </c>
      <c r="D77" t="s">
        <v>43</v>
      </c>
      <c r="E77" t="s">
        <v>4</v>
      </c>
      <c r="F77" t="s">
        <v>56</v>
      </c>
      <c r="G77" t="s">
        <v>160</v>
      </c>
    </row>
    <row r="78" spans="1:7" x14ac:dyDescent="0.2">
      <c r="A78" s="3" t="str">
        <f t="shared" si="1"/>
        <v>conformance-certifier-descriptive</v>
      </c>
      <c r="D78" t="s">
        <v>43</v>
      </c>
      <c r="E78" t="s">
        <v>10</v>
      </c>
      <c r="F78" t="s">
        <v>56</v>
      </c>
      <c r="G78" t="s">
        <v>80</v>
      </c>
    </row>
    <row r="79" spans="1:7" x14ac:dyDescent="0.2">
      <c r="A79" s="3" t="str">
        <f t="shared" si="1"/>
        <v>conformance-certifier-credentials-descriptive</v>
      </c>
      <c r="D79" t="s">
        <v>43</v>
      </c>
      <c r="E79" t="s">
        <v>11</v>
      </c>
      <c r="F79" t="s">
        <v>56</v>
      </c>
      <c r="G79" t="s">
        <v>12</v>
      </c>
    </row>
    <row r="80" spans="1:7" x14ac:dyDescent="0.2">
      <c r="A80" s="3" t="str">
        <f t="shared" si="1"/>
        <v>conformance-details-title-compact</v>
      </c>
      <c r="D80" t="s">
        <v>43</v>
      </c>
      <c r="E80" t="s">
        <v>192</v>
      </c>
      <c r="G80" t="s">
        <v>81</v>
      </c>
    </row>
    <row r="81" spans="1:7" x14ac:dyDescent="0.2">
      <c r="A81" s="3" t="str">
        <f t="shared" si="1"/>
        <v>conformance-details-claim-descriptive</v>
      </c>
      <c r="D81" t="s">
        <v>43</v>
      </c>
      <c r="E81" t="s">
        <v>193</v>
      </c>
      <c r="F81" t="s">
        <v>56</v>
      </c>
      <c r="G81" t="s">
        <v>13</v>
      </c>
    </row>
    <row r="82" spans="1:7" x14ac:dyDescent="0.2">
      <c r="A82" s="3" t="str">
        <f t="shared" si="1"/>
        <v>conformance-details-epub-accessibility-1-1-descriptive</v>
      </c>
      <c r="D82" t="s">
        <v>43</v>
      </c>
      <c r="E82" t="s">
        <v>194</v>
      </c>
      <c r="F82" t="s">
        <v>56</v>
      </c>
      <c r="G82" t="s">
        <v>15</v>
      </c>
    </row>
    <row r="83" spans="1:7" x14ac:dyDescent="0.2">
      <c r="A83" s="3" t="str">
        <f t="shared" si="1"/>
        <v>conformance-details-wcag-2-1-descriptive</v>
      </c>
      <c r="D83" t="s">
        <v>43</v>
      </c>
      <c r="E83" t="s">
        <v>195</v>
      </c>
      <c r="F83" t="s">
        <v>56</v>
      </c>
      <c r="G83" t="s">
        <v>54</v>
      </c>
    </row>
    <row r="84" spans="1:7" x14ac:dyDescent="0.2">
      <c r="A84" s="3" t="str">
        <f t="shared" si="1"/>
        <v>conformance-details-level-aa-descriptive</v>
      </c>
      <c r="D84" t="s">
        <v>43</v>
      </c>
      <c r="E84" t="s">
        <v>196</v>
      </c>
      <c r="F84" t="s">
        <v>56</v>
      </c>
      <c r="G84" t="s">
        <v>20</v>
      </c>
    </row>
    <row r="85" spans="1:7" x14ac:dyDescent="0.2">
      <c r="A85" s="3" t="str">
        <f t="shared" si="1"/>
        <v>conformance-details-certification-info-descriptive</v>
      </c>
      <c r="D85" t="s">
        <v>43</v>
      </c>
      <c r="E85" t="s">
        <v>197</v>
      </c>
      <c r="F85" t="s">
        <v>56</v>
      </c>
      <c r="G85" t="s">
        <v>82</v>
      </c>
    </row>
    <row r="86" spans="1:7" x14ac:dyDescent="0.2">
      <c r="A86" s="3" t="str">
        <f t="shared" si="1"/>
        <v>conformance-details-certifier-report-descriptive</v>
      </c>
      <c r="D86" t="s">
        <v>43</v>
      </c>
      <c r="E86" t="s">
        <v>198</v>
      </c>
      <c r="F86" t="s">
        <v>56</v>
      </c>
      <c r="G86" t="s">
        <v>74</v>
      </c>
    </row>
    <row r="87" spans="1:7" x14ac:dyDescent="0.2">
      <c r="A87" s="3" t="str">
        <f t="shared" si="1"/>
        <v>conformance-title-compact</v>
      </c>
      <c r="D87" t="s">
        <v>43</v>
      </c>
      <c r="E87" t="s">
        <v>44</v>
      </c>
      <c r="G87" t="s">
        <v>45</v>
      </c>
    </row>
    <row r="88" spans="1:7" x14ac:dyDescent="0.2">
      <c r="A88" s="3" t="str">
        <f t="shared" si="1"/>
        <v>conformance-no-compact</v>
      </c>
      <c r="D88" t="s">
        <v>43</v>
      </c>
      <c r="E88" t="s">
        <v>9</v>
      </c>
      <c r="F88" t="s">
        <v>57</v>
      </c>
      <c r="G88" t="s">
        <v>75</v>
      </c>
    </row>
    <row r="89" spans="1:7" x14ac:dyDescent="0.2">
      <c r="A89" s="3" t="str">
        <f t="shared" si="1"/>
        <v>navigation-title-compact</v>
      </c>
      <c r="D89" t="s">
        <v>43</v>
      </c>
      <c r="E89" t="s">
        <v>46</v>
      </c>
      <c r="G89" t="s">
        <v>47</v>
      </c>
    </row>
    <row r="90" spans="1:7" x14ac:dyDescent="0.2">
      <c r="A90" s="3" t="str">
        <f t="shared" si="1"/>
        <v>navigation-no-metadata-descriptive</v>
      </c>
      <c r="D90" t="s">
        <v>43</v>
      </c>
      <c r="E90" t="s">
        <v>26</v>
      </c>
      <c r="F90" t="s">
        <v>56</v>
      </c>
      <c r="G90" t="s">
        <v>75</v>
      </c>
    </row>
    <row r="91" spans="1:7" x14ac:dyDescent="0.2">
      <c r="A91" s="3" t="str">
        <f t="shared" si="1"/>
        <v>navigation-toc-compact</v>
      </c>
      <c r="D91" t="s">
        <v>43</v>
      </c>
      <c r="E91" t="s">
        <v>22</v>
      </c>
      <c r="F91" t="s">
        <v>57</v>
      </c>
      <c r="G91" t="s">
        <v>89</v>
      </c>
    </row>
    <row r="92" spans="1:7" x14ac:dyDescent="0.2">
      <c r="A92" s="3" t="str">
        <f t="shared" si="1"/>
        <v>navigation-toc-descriptive</v>
      </c>
      <c r="D92" t="s">
        <v>43</v>
      </c>
      <c r="E92" t="s">
        <v>22</v>
      </c>
      <c r="F92" t="s">
        <v>56</v>
      </c>
      <c r="G92" t="s">
        <v>85</v>
      </c>
    </row>
    <row r="93" spans="1:7" x14ac:dyDescent="0.2">
      <c r="A93" s="3" t="str">
        <f t="shared" si="1"/>
        <v>navigation-index-compact</v>
      </c>
      <c r="D93" t="s">
        <v>43</v>
      </c>
      <c r="E93" t="s">
        <v>23</v>
      </c>
      <c r="F93" t="s">
        <v>57</v>
      </c>
      <c r="G93" t="s">
        <v>90</v>
      </c>
    </row>
    <row r="94" spans="1:7" x14ac:dyDescent="0.2">
      <c r="A94" s="3" t="str">
        <f t="shared" si="1"/>
        <v>navigation-index-descriptive</v>
      </c>
      <c r="D94" t="s">
        <v>43</v>
      </c>
      <c r="E94" t="s">
        <v>23</v>
      </c>
      <c r="F94" t="s">
        <v>56</v>
      </c>
      <c r="G94" t="s">
        <v>86</v>
      </c>
    </row>
    <row r="95" spans="1:7" x14ac:dyDescent="0.2">
      <c r="A95" s="3" t="str">
        <f t="shared" si="1"/>
        <v>navigation-structural-compact</v>
      </c>
      <c r="D95" t="s">
        <v>43</v>
      </c>
      <c r="E95" t="s">
        <v>25</v>
      </c>
      <c r="F95" t="s">
        <v>57</v>
      </c>
      <c r="G95" t="s">
        <v>91</v>
      </c>
    </row>
    <row r="96" spans="1:7" x14ac:dyDescent="0.2">
      <c r="A96" s="3" t="str">
        <f t="shared" si="1"/>
        <v>navigation-structural-descriptive</v>
      </c>
      <c r="D96" t="s">
        <v>43</v>
      </c>
      <c r="E96" t="s">
        <v>25</v>
      </c>
      <c r="F96" t="s">
        <v>56</v>
      </c>
      <c r="G96" t="s">
        <v>87</v>
      </c>
    </row>
    <row r="97" spans="1:7" x14ac:dyDescent="0.2">
      <c r="A97" s="3" t="str">
        <f t="shared" si="1"/>
        <v>navigation-page-navigation-compact</v>
      </c>
      <c r="D97" t="s">
        <v>43</v>
      </c>
      <c r="E97" t="s">
        <v>24</v>
      </c>
      <c r="F97" t="s">
        <v>57</v>
      </c>
      <c r="G97" t="s">
        <v>92</v>
      </c>
    </row>
    <row r="98" spans="1:7" x14ac:dyDescent="0.2">
      <c r="A98" s="3" t="str">
        <f t="shared" si="1"/>
        <v>navigation-page-navigation-descriptive</v>
      </c>
      <c r="D98" t="s">
        <v>43</v>
      </c>
      <c r="E98" t="s">
        <v>24</v>
      </c>
      <c r="F98" t="s">
        <v>56</v>
      </c>
      <c r="G98" t="s">
        <v>88</v>
      </c>
    </row>
    <row r="99" spans="1:7" x14ac:dyDescent="0.2">
      <c r="A99" s="3" t="str">
        <f t="shared" si="1"/>
        <v>navigation-no-metadata-compact</v>
      </c>
      <c r="D99" t="s">
        <v>43</v>
      </c>
      <c r="E99" t="s">
        <v>26</v>
      </c>
      <c r="F99" t="s">
        <v>57</v>
      </c>
      <c r="G99" t="s">
        <v>75</v>
      </c>
    </row>
    <row r="100" spans="1:7" x14ac:dyDescent="0.2">
      <c r="A100" s="3" t="str">
        <f t="shared" si="1"/>
        <v>navigation-no-metadata-descriptive</v>
      </c>
      <c r="D100" t="s">
        <v>43</v>
      </c>
      <c r="E100" t="s">
        <v>26</v>
      </c>
      <c r="F100" t="s">
        <v>56</v>
      </c>
      <c r="G100" t="s">
        <v>75</v>
      </c>
    </row>
    <row r="101" spans="1:7" x14ac:dyDescent="0.2">
      <c r="A101" s="3" t="str">
        <f t="shared" si="1"/>
        <v>navigation-title-compact</v>
      </c>
      <c r="D101" t="s">
        <v>43</v>
      </c>
      <c r="E101" t="s">
        <v>46</v>
      </c>
      <c r="G101" t="s">
        <v>47</v>
      </c>
    </row>
    <row r="102" spans="1:7" x14ac:dyDescent="0.2">
      <c r="A102" s="3" t="str">
        <f t="shared" si="1"/>
        <v>navigation-toc-compact</v>
      </c>
      <c r="D102" t="s">
        <v>43</v>
      </c>
      <c r="E102" t="s">
        <v>22</v>
      </c>
      <c r="F102" t="s">
        <v>57</v>
      </c>
      <c r="G102" t="s">
        <v>89</v>
      </c>
    </row>
    <row r="103" spans="1:7" x14ac:dyDescent="0.2">
      <c r="A103" s="3" t="str">
        <f t="shared" si="1"/>
        <v>navigation-page-navigation-compact</v>
      </c>
      <c r="D103" t="s">
        <v>43</v>
      </c>
      <c r="E103" t="s">
        <v>24</v>
      </c>
      <c r="F103" t="s">
        <v>57</v>
      </c>
      <c r="G103" t="s">
        <v>92</v>
      </c>
    </row>
    <row r="104" spans="1:7" x14ac:dyDescent="0.2">
      <c r="A104" s="3" t="str">
        <f t="shared" si="1"/>
        <v>navigation-title-compact</v>
      </c>
      <c r="D104" t="s">
        <v>43</v>
      </c>
      <c r="E104" t="s">
        <v>46</v>
      </c>
      <c r="G104" t="s">
        <v>47</v>
      </c>
    </row>
    <row r="105" spans="1:7" x14ac:dyDescent="0.2">
      <c r="A105" s="3" t="str">
        <f t="shared" si="1"/>
        <v>navigation-toc-descriptive</v>
      </c>
      <c r="D105" t="s">
        <v>43</v>
      </c>
      <c r="E105" t="s">
        <v>22</v>
      </c>
      <c r="F105" t="s">
        <v>56</v>
      </c>
      <c r="G105" t="s">
        <v>85</v>
      </c>
    </row>
    <row r="106" spans="1:7" x14ac:dyDescent="0.2">
      <c r="A106" s="3" t="str">
        <f t="shared" si="1"/>
        <v>navigation-page-navigation-compact</v>
      </c>
      <c r="D106" t="s">
        <v>43</v>
      </c>
      <c r="E106" t="s">
        <v>24</v>
      </c>
      <c r="F106" t="s">
        <v>57</v>
      </c>
      <c r="G106" t="s">
        <v>88</v>
      </c>
    </row>
    <row r="107" spans="1:7" x14ac:dyDescent="0.2">
      <c r="A107" s="3" t="str">
        <f t="shared" si="1"/>
        <v>rich-content-title-compact</v>
      </c>
      <c r="D107" t="s">
        <v>43</v>
      </c>
      <c r="E107" t="s">
        <v>115</v>
      </c>
      <c r="G107" t="s">
        <v>93</v>
      </c>
    </row>
    <row r="108" spans="1:7" x14ac:dyDescent="0.2">
      <c r="A108" s="3" t="str">
        <f t="shared" si="1"/>
        <v>rich-content-unknown-descriptive</v>
      </c>
      <c r="D108" t="s">
        <v>43</v>
      </c>
      <c r="E108" t="s">
        <v>94</v>
      </c>
      <c r="F108" t="s">
        <v>56</v>
      </c>
      <c r="G108" t="s">
        <v>75</v>
      </c>
    </row>
    <row r="109" spans="1:7" x14ac:dyDescent="0.2">
      <c r="A109" s="3" t="str">
        <f t="shared" si="1"/>
        <v>rich-content-accessible-math-as-mathml-compact</v>
      </c>
      <c r="D109" t="s">
        <v>43</v>
      </c>
      <c r="E109" t="s">
        <v>95</v>
      </c>
      <c r="F109" t="s">
        <v>57</v>
      </c>
      <c r="G109" t="s">
        <v>106</v>
      </c>
    </row>
    <row r="110" spans="1:7" x14ac:dyDescent="0.2">
      <c r="A110" s="3" t="str">
        <f t="shared" si="1"/>
        <v>rich-content-accessible-math-as-mathml-descriptive</v>
      </c>
      <c r="D110" t="s">
        <v>43</v>
      </c>
      <c r="E110" t="s">
        <v>95</v>
      </c>
      <c r="F110" t="s">
        <v>56</v>
      </c>
      <c r="G110" t="s">
        <v>96</v>
      </c>
    </row>
    <row r="111" spans="1:7" x14ac:dyDescent="0.2">
      <c r="A111" s="3" t="str">
        <f t="shared" si="1"/>
        <v>rich-content-accessible-math-as-latex-compact</v>
      </c>
      <c r="D111" t="s">
        <v>43</v>
      </c>
      <c r="E111" t="s">
        <v>97</v>
      </c>
      <c r="F111" t="s">
        <v>57</v>
      </c>
      <c r="G111" t="s">
        <v>151</v>
      </c>
    </row>
    <row r="112" spans="1:7" x14ac:dyDescent="0.2">
      <c r="A112" s="3" t="str">
        <f t="shared" si="1"/>
        <v>rich-content-accessible-math-as-latex-descriptive</v>
      </c>
      <c r="D112" t="s">
        <v>43</v>
      </c>
      <c r="E112" t="s">
        <v>97</v>
      </c>
      <c r="F112" t="s">
        <v>56</v>
      </c>
      <c r="G112" t="s">
        <v>149</v>
      </c>
    </row>
    <row r="113" spans="1:7" x14ac:dyDescent="0.2">
      <c r="A113" s="3" t="str">
        <f t="shared" si="1"/>
        <v>rich-content-accessible-math-described-compact</v>
      </c>
      <c r="D113" t="s">
        <v>43</v>
      </c>
      <c r="E113" t="s">
        <v>98</v>
      </c>
      <c r="F113" t="s">
        <v>57</v>
      </c>
      <c r="G113" t="s">
        <v>156</v>
      </c>
    </row>
    <row r="114" spans="1:7" x14ac:dyDescent="0.2">
      <c r="A114" s="3" t="str">
        <f t="shared" si="1"/>
        <v>rich-content-accessible-math-described-descriptive</v>
      </c>
      <c r="D114" t="s">
        <v>43</v>
      </c>
      <c r="E114" t="s">
        <v>98</v>
      </c>
      <c r="F114" t="s">
        <v>56</v>
      </c>
      <c r="G114" t="s">
        <v>156</v>
      </c>
    </row>
    <row r="115" spans="1:7" x14ac:dyDescent="0.2">
      <c r="A115" s="3" t="str">
        <f t="shared" si="1"/>
        <v>rich-content-accessible-chemistry-as-mathml-compact</v>
      </c>
      <c r="D115" t="s">
        <v>43</v>
      </c>
      <c r="E115" t="s">
        <v>99</v>
      </c>
      <c r="F115" t="s">
        <v>57</v>
      </c>
      <c r="G115" t="s">
        <v>107</v>
      </c>
    </row>
    <row r="116" spans="1:7" x14ac:dyDescent="0.2">
      <c r="A116" s="3" t="str">
        <f t="shared" si="1"/>
        <v>rich-content-accessible-chemistry-as-mathml-descriptive</v>
      </c>
      <c r="D116" t="s">
        <v>43</v>
      </c>
      <c r="E116" t="s">
        <v>99</v>
      </c>
      <c r="F116" t="s">
        <v>56</v>
      </c>
      <c r="G116" t="s">
        <v>100</v>
      </c>
    </row>
    <row r="117" spans="1:7" x14ac:dyDescent="0.2">
      <c r="A117" s="3" t="str">
        <f t="shared" si="1"/>
        <v>rich-content-accessible-chemistry-as-latex-compact</v>
      </c>
      <c r="D117" t="s">
        <v>43</v>
      </c>
      <c r="E117" t="s">
        <v>101</v>
      </c>
      <c r="F117" t="s">
        <v>57</v>
      </c>
      <c r="G117" t="s">
        <v>152</v>
      </c>
    </row>
    <row r="118" spans="1:7" x14ac:dyDescent="0.2">
      <c r="A118" s="3" t="str">
        <f t="shared" si="1"/>
        <v>rich-content-accessible-chemistry-as-latex-descriptive</v>
      </c>
      <c r="D118" t="s">
        <v>43</v>
      </c>
      <c r="E118" t="s">
        <v>101</v>
      </c>
      <c r="F118" t="s">
        <v>56</v>
      </c>
      <c r="G118" t="s">
        <v>150</v>
      </c>
    </row>
    <row r="119" spans="1:7" x14ac:dyDescent="0.2">
      <c r="A119" s="3" t="str">
        <f t="shared" si="1"/>
        <v>rich-content-extended-compact</v>
      </c>
      <c r="D119" t="s">
        <v>43</v>
      </c>
      <c r="E119" t="s">
        <v>102</v>
      </c>
      <c r="F119" t="s">
        <v>57</v>
      </c>
      <c r="G119" t="s">
        <v>103</v>
      </c>
    </row>
    <row r="120" spans="1:7" x14ac:dyDescent="0.2">
      <c r="A120" s="3" t="str">
        <f t="shared" si="1"/>
        <v>rich-content-extended-descriptive</v>
      </c>
      <c r="D120" t="s">
        <v>43</v>
      </c>
      <c r="E120" t="s">
        <v>102</v>
      </c>
      <c r="F120" t="s">
        <v>56</v>
      </c>
      <c r="G120" t="s">
        <v>103</v>
      </c>
    </row>
    <row r="121" spans="1:7" x14ac:dyDescent="0.2">
      <c r="A121" s="3" t="str">
        <f t="shared" si="1"/>
        <v>rich-content-closed-captions-compact</v>
      </c>
      <c r="D121" t="s">
        <v>43</v>
      </c>
      <c r="E121" t="s">
        <v>116</v>
      </c>
      <c r="F121" t="s">
        <v>57</v>
      </c>
      <c r="G121" t="s">
        <v>108</v>
      </c>
    </row>
    <row r="122" spans="1:7" x14ac:dyDescent="0.2">
      <c r="A122" s="3" t="str">
        <f t="shared" si="1"/>
        <v>rich-content-closed-captions-descriptive</v>
      </c>
      <c r="D122" t="s">
        <v>43</v>
      </c>
      <c r="E122" t="s">
        <v>116</v>
      </c>
      <c r="F122" t="s">
        <v>56</v>
      </c>
      <c r="G122" t="s">
        <v>104</v>
      </c>
    </row>
    <row r="123" spans="1:7" x14ac:dyDescent="0.2">
      <c r="A123" s="3" t="str">
        <f t="shared" si="1"/>
        <v>rich-content-open-captions-compact</v>
      </c>
      <c r="D123" t="s">
        <v>43</v>
      </c>
      <c r="E123" t="s">
        <v>117</v>
      </c>
      <c r="F123" t="s">
        <v>57</v>
      </c>
      <c r="G123" t="s">
        <v>109</v>
      </c>
    </row>
    <row r="124" spans="1:7" x14ac:dyDescent="0.2">
      <c r="A124" s="3" t="str">
        <f t="shared" si="1"/>
        <v>rich-content-open-captions-descriptive</v>
      </c>
      <c r="D124" t="s">
        <v>43</v>
      </c>
      <c r="E124" t="s">
        <v>117</v>
      </c>
      <c r="F124" t="s">
        <v>56</v>
      </c>
      <c r="G124" t="s">
        <v>105</v>
      </c>
    </row>
    <row r="125" spans="1:7" x14ac:dyDescent="0.2">
      <c r="A125" s="3" t="str">
        <f t="shared" si="1"/>
        <v>rich-content-transcript-compact</v>
      </c>
      <c r="D125" t="s">
        <v>43</v>
      </c>
      <c r="E125" t="s">
        <v>118</v>
      </c>
      <c r="F125" t="s">
        <v>57</v>
      </c>
      <c r="G125" t="s">
        <v>157</v>
      </c>
    </row>
    <row r="126" spans="1:7" x14ac:dyDescent="0.2">
      <c r="A126" s="3" t="str">
        <f t="shared" si="1"/>
        <v>rich-content-transcript-descriptive</v>
      </c>
      <c r="D126" t="s">
        <v>43</v>
      </c>
      <c r="E126" t="s">
        <v>118</v>
      </c>
      <c r="F126" t="s">
        <v>56</v>
      </c>
      <c r="G126" t="s">
        <v>157</v>
      </c>
    </row>
    <row r="127" spans="1:7" x14ac:dyDescent="0.2">
      <c r="A127" s="3" t="str">
        <f t="shared" si="1"/>
        <v>rich-content-unknown-compact</v>
      </c>
      <c r="D127" t="s">
        <v>43</v>
      </c>
      <c r="E127" t="s">
        <v>94</v>
      </c>
      <c r="F127" t="s">
        <v>57</v>
      </c>
      <c r="G127" t="s">
        <v>75</v>
      </c>
    </row>
    <row r="128" spans="1:7" x14ac:dyDescent="0.2">
      <c r="A128" s="3" t="str">
        <f t="shared" si="1"/>
        <v>rich-content-unknown-descriptive</v>
      </c>
      <c r="D128" t="s">
        <v>43</v>
      </c>
      <c r="E128" t="s">
        <v>94</v>
      </c>
      <c r="F128" t="s">
        <v>56</v>
      </c>
      <c r="G128" t="s">
        <v>75</v>
      </c>
    </row>
    <row r="129" spans="1:7" x14ac:dyDescent="0.2">
      <c r="A129" s="3" t="str">
        <f t="shared" si="1"/>
        <v>rich-content-title-compact</v>
      </c>
      <c r="D129" t="s">
        <v>43</v>
      </c>
      <c r="E129" t="s">
        <v>115</v>
      </c>
      <c r="G129" t="s">
        <v>93</v>
      </c>
    </row>
    <row r="130" spans="1:7" x14ac:dyDescent="0.2">
      <c r="A130" s="3" t="str">
        <f t="shared" si="1"/>
        <v>rich-content-accessible-math-as-mathml-compact</v>
      </c>
      <c r="D130" t="s">
        <v>43</v>
      </c>
      <c r="E130" t="s">
        <v>95</v>
      </c>
      <c r="F130" t="s">
        <v>57</v>
      </c>
      <c r="G130" t="s">
        <v>106</v>
      </c>
    </row>
    <row r="131" spans="1:7" x14ac:dyDescent="0.2">
      <c r="A131" s="3" t="str">
        <f t="shared" ref="A131:A191" si="2">E131&amp;"-"&amp;IF(ISBLANK(F131),"compact",F131)</f>
        <v>rich-content-closed-captions-compact</v>
      </c>
      <c r="D131" t="s">
        <v>43</v>
      </c>
      <c r="E131" t="s">
        <v>116</v>
      </c>
      <c r="F131" t="s">
        <v>57</v>
      </c>
      <c r="G131" t="s">
        <v>108</v>
      </c>
    </row>
    <row r="132" spans="1:7" x14ac:dyDescent="0.2">
      <c r="A132" s="3" t="str">
        <f t="shared" si="2"/>
        <v>rich-content-transcript-compact</v>
      </c>
      <c r="D132" t="s">
        <v>43</v>
      </c>
      <c r="E132" t="s">
        <v>118</v>
      </c>
      <c r="F132" t="s">
        <v>57</v>
      </c>
      <c r="G132" t="s">
        <v>157</v>
      </c>
    </row>
    <row r="133" spans="1:7" x14ac:dyDescent="0.2">
      <c r="A133" s="3" t="str">
        <f t="shared" si="2"/>
        <v>rich-content-title-compact</v>
      </c>
      <c r="D133" t="s">
        <v>43</v>
      </c>
      <c r="E133" t="s">
        <v>115</v>
      </c>
      <c r="G133" t="s">
        <v>93</v>
      </c>
    </row>
    <row r="134" spans="1:7" x14ac:dyDescent="0.2">
      <c r="A134" s="3" t="str">
        <f t="shared" si="2"/>
        <v>rich-content-accessible-math-as-mathml-descriptive</v>
      </c>
      <c r="D134" t="s">
        <v>43</v>
      </c>
      <c r="E134" t="s">
        <v>95</v>
      </c>
      <c r="F134" t="s">
        <v>56</v>
      </c>
      <c r="G134" t="s">
        <v>96</v>
      </c>
    </row>
    <row r="135" spans="1:7" x14ac:dyDescent="0.2">
      <c r="A135" s="3" t="str">
        <f t="shared" si="2"/>
        <v>rich-content-closed-captions-descriptive</v>
      </c>
      <c r="D135" t="s">
        <v>43</v>
      </c>
      <c r="E135" t="s">
        <v>116</v>
      </c>
      <c r="F135" t="s">
        <v>56</v>
      </c>
      <c r="G135" t="s">
        <v>104</v>
      </c>
    </row>
    <row r="136" spans="1:7" x14ac:dyDescent="0.2">
      <c r="A136" s="3" t="str">
        <f t="shared" si="2"/>
        <v>rich-content-transcript-compact</v>
      </c>
      <c r="D136" t="s">
        <v>43</v>
      </c>
      <c r="E136" t="s">
        <v>118</v>
      </c>
      <c r="F136" t="s">
        <v>57</v>
      </c>
      <c r="G136" t="s">
        <v>157</v>
      </c>
    </row>
    <row r="137" spans="1:7" x14ac:dyDescent="0.2">
      <c r="A137" s="3" t="str">
        <f t="shared" si="2"/>
        <v>hazards-title-compact</v>
      </c>
      <c r="D137" t="s">
        <v>43</v>
      </c>
      <c r="E137" t="s">
        <v>48</v>
      </c>
      <c r="G137" t="s">
        <v>49</v>
      </c>
    </row>
    <row r="138" spans="1:7" x14ac:dyDescent="0.2">
      <c r="A138" s="3" t="str">
        <f t="shared" si="2"/>
        <v>hazards-no-metadata-descriptive</v>
      </c>
      <c r="D138" t="s">
        <v>43</v>
      </c>
      <c r="E138" t="s">
        <v>33</v>
      </c>
      <c r="F138" t="s">
        <v>56</v>
      </c>
      <c r="G138" t="s">
        <v>75</v>
      </c>
    </row>
    <row r="139" spans="1:7" x14ac:dyDescent="0.2">
      <c r="A139" s="3" t="str">
        <f t="shared" si="2"/>
        <v>hazards-none-compact</v>
      </c>
      <c r="D139" t="s">
        <v>43</v>
      </c>
      <c r="E139" t="s">
        <v>27</v>
      </c>
      <c r="F139" t="s">
        <v>57</v>
      </c>
      <c r="G139" t="s">
        <v>28</v>
      </c>
    </row>
    <row r="140" spans="1:7" x14ac:dyDescent="0.2">
      <c r="A140" s="3" t="str">
        <f t="shared" si="2"/>
        <v>hazards-none-descriptive</v>
      </c>
      <c r="D140" t="s">
        <v>43</v>
      </c>
      <c r="E140" t="s">
        <v>27</v>
      </c>
      <c r="F140" t="s">
        <v>56</v>
      </c>
      <c r="G140" t="s">
        <v>159</v>
      </c>
    </row>
    <row r="141" spans="1:7" x14ac:dyDescent="0.2">
      <c r="A141" s="3" t="str">
        <f t="shared" si="2"/>
        <v>hazards-unknown-compact</v>
      </c>
      <c r="D141" t="s">
        <v>43</v>
      </c>
      <c r="E141" t="s">
        <v>32</v>
      </c>
      <c r="F141" t="s">
        <v>57</v>
      </c>
      <c r="G141" t="s">
        <v>73</v>
      </c>
    </row>
    <row r="142" spans="1:7" x14ac:dyDescent="0.2">
      <c r="A142" s="3" t="str">
        <f t="shared" si="2"/>
        <v>hazards-unknown-descriptive</v>
      </c>
      <c r="D142" t="s">
        <v>43</v>
      </c>
      <c r="E142" t="s">
        <v>32</v>
      </c>
      <c r="F142" t="s">
        <v>56</v>
      </c>
      <c r="G142" t="s">
        <v>73</v>
      </c>
    </row>
    <row r="143" spans="1:7" x14ac:dyDescent="0.2">
      <c r="A143" s="3" t="str">
        <f t="shared" si="2"/>
        <v>hazards-flashing-compact</v>
      </c>
      <c r="D143" t="s">
        <v>43</v>
      </c>
      <c r="E143" t="s">
        <v>29</v>
      </c>
      <c r="F143" t="s">
        <v>57</v>
      </c>
      <c r="G143" t="s">
        <v>111</v>
      </c>
    </row>
    <row r="144" spans="1:7" x14ac:dyDescent="0.2">
      <c r="A144" s="3" t="str">
        <f t="shared" si="2"/>
        <v>hazards-flashing-descriptive</v>
      </c>
      <c r="D144" t="s">
        <v>43</v>
      </c>
      <c r="E144" t="s">
        <v>29</v>
      </c>
      <c r="F144" t="s">
        <v>56</v>
      </c>
      <c r="G144" t="s">
        <v>220</v>
      </c>
    </row>
    <row r="145" spans="1:7" x14ac:dyDescent="0.2">
      <c r="A145" s="3" t="str">
        <f t="shared" si="2"/>
        <v>hazards-flashing-none-compact</v>
      </c>
      <c r="D145" t="s">
        <v>43</v>
      </c>
      <c r="E145" t="s">
        <v>210</v>
      </c>
      <c r="F145" t="s">
        <v>57</v>
      </c>
      <c r="G145" t="s">
        <v>211</v>
      </c>
    </row>
    <row r="146" spans="1:7" x14ac:dyDescent="0.2">
      <c r="A146" s="3" t="str">
        <f t="shared" si="2"/>
        <v>hazards-flashing-none-descriptive</v>
      </c>
      <c r="D146" t="s">
        <v>43</v>
      </c>
      <c r="E146" t="s">
        <v>210</v>
      </c>
      <c r="F146" t="s">
        <v>56</v>
      </c>
      <c r="G146" t="s">
        <v>221</v>
      </c>
    </row>
    <row r="147" spans="1:7" x14ac:dyDescent="0.2">
      <c r="A147" s="3" t="str">
        <f t="shared" si="2"/>
        <v>hazards-flashing-unknown-compact</v>
      </c>
      <c r="D147" t="s">
        <v>43</v>
      </c>
      <c r="E147" t="s">
        <v>204</v>
      </c>
      <c r="F147" t="s">
        <v>57</v>
      </c>
      <c r="G147" t="s">
        <v>205</v>
      </c>
    </row>
    <row r="148" spans="1:7" x14ac:dyDescent="0.2">
      <c r="A148" s="3" t="str">
        <f t="shared" si="2"/>
        <v>hazards-flashing-unknown-descriptive</v>
      </c>
      <c r="D148" t="s">
        <v>43</v>
      </c>
      <c r="E148" t="s">
        <v>204</v>
      </c>
      <c r="F148" t="s">
        <v>56</v>
      </c>
      <c r="G148" t="s">
        <v>222</v>
      </c>
    </row>
    <row r="149" spans="1:7" x14ac:dyDescent="0.2">
      <c r="A149" s="3" t="str">
        <f t="shared" si="2"/>
        <v>hazards-motion-compact</v>
      </c>
      <c r="D149" t="s">
        <v>43</v>
      </c>
      <c r="E149" t="s">
        <v>30</v>
      </c>
      <c r="F149" t="s">
        <v>57</v>
      </c>
      <c r="G149" t="s">
        <v>112</v>
      </c>
    </row>
    <row r="150" spans="1:7" x14ac:dyDescent="0.2">
      <c r="A150" s="3" t="str">
        <f t="shared" si="2"/>
        <v>hazards-motion-descriptive</v>
      </c>
      <c r="D150" t="s">
        <v>43</v>
      </c>
      <c r="E150" t="s">
        <v>30</v>
      </c>
      <c r="F150" t="s">
        <v>56</v>
      </c>
      <c r="G150" t="s">
        <v>110</v>
      </c>
    </row>
    <row r="151" spans="1:7" x14ac:dyDescent="0.2">
      <c r="A151" s="3" t="str">
        <f t="shared" si="2"/>
        <v>hazards-motion-none-compact</v>
      </c>
      <c r="D151" t="s">
        <v>43</v>
      </c>
      <c r="E151" t="s">
        <v>212</v>
      </c>
      <c r="F151" t="s">
        <v>57</v>
      </c>
      <c r="G151" t="s">
        <v>213</v>
      </c>
    </row>
    <row r="152" spans="1:7" x14ac:dyDescent="0.2">
      <c r="A152" s="3" t="str">
        <f t="shared" si="2"/>
        <v>hazards-motion-none-descriptive</v>
      </c>
      <c r="D152" t="s">
        <v>43</v>
      </c>
      <c r="E152" t="s">
        <v>212</v>
      </c>
      <c r="F152" t="s">
        <v>56</v>
      </c>
      <c r="G152" t="s">
        <v>223</v>
      </c>
    </row>
    <row r="153" spans="1:7" x14ac:dyDescent="0.2">
      <c r="A153" s="3" t="str">
        <f t="shared" si="2"/>
        <v>hazards-motion-unknown-compact</v>
      </c>
      <c r="D153" t="s">
        <v>43</v>
      </c>
      <c r="E153" t="s">
        <v>206</v>
      </c>
      <c r="F153" t="s">
        <v>57</v>
      </c>
      <c r="G153" t="s">
        <v>207</v>
      </c>
    </row>
    <row r="154" spans="1:7" x14ac:dyDescent="0.2">
      <c r="A154" s="3" t="str">
        <f t="shared" si="2"/>
        <v>hazards-motion-unknown-descriptive</v>
      </c>
      <c r="D154" t="s">
        <v>43</v>
      </c>
      <c r="E154" t="s">
        <v>206</v>
      </c>
      <c r="F154" t="s">
        <v>56</v>
      </c>
      <c r="G154" t="s">
        <v>224</v>
      </c>
    </row>
    <row r="155" spans="1:7" x14ac:dyDescent="0.2">
      <c r="A155" s="3" t="str">
        <f t="shared" si="2"/>
        <v>hazards-sound-compact</v>
      </c>
      <c r="D155" t="s">
        <v>43</v>
      </c>
      <c r="E155" t="s">
        <v>31</v>
      </c>
      <c r="F155" t="s">
        <v>57</v>
      </c>
      <c r="G155" t="s">
        <v>158</v>
      </c>
    </row>
    <row r="156" spans="1:7" x14ac:dyDescent="0.2">
      <c r="A156" s="3" t="str">
        <f t="shared" si="2"/>
        <v>hazards-sound-descriptive</v>
      </c>
      <c r="D156" t="s">
        <v>43</v>
      </c>
      <c r="E156" t="s">
        <v>31</v>
      </c>
      <c r="F156" t="s">
        <v>56</v>
      </c>
      <c r="G156" t="s">
        <v>225</v>
      </c>
    </row>
    <row r="157" spans="1:7" x14ac:dyDescent="0.2">
      <c r="A157" s="3" t="str">
        <f t="shared" si="2"/>
        <v>hazards-sound-none-compact</v>
      </c>
      <c r="D157" t="s">
        <v>43</v>
      </c>
      <c r="E157" t="s">
        <v>214</v>
      </c>
      <c r="F157" t="s">
        <v>57</v>
      </c>
      <c r="G157" t="s">
        <v>215</v>
      </c>
    </row>
    <row r="158" spans="1:7" x14ac:dyDescent="0.2">
      <c r="A158" s="3" t="str">
        <f t="shared" si="2"/>
        <v>hazards-sound-none-descriptive</v>
      </c>
      <c r="D158" t="s">
        <v>43</v>
      </c>
      <c r="E158" t="s">
        <v>214</v>
      </c>
      <c r="F158" t="s">
        <v>56</v>
      </c>
      <c r="G158" t="s">
        <v>226</v>
      </c>
    </row>
    <row r="159" spans="1:7" x14ac:dyDescent="0.2">
      <c r="A159" s="3" t="str">
        <f t="shared" si="2"/>
        <v>hazards-sound-unknown-compact</v>
      </c>
      <c r="D159" t="s">
        <v>43</v>
      </c>
      <c r="E159" t="s">
        <v>208</v>
      </c>
      <c r="F159" t="s">
        <v>57</v>
      </c>
      <c r="G159" t="s">
        <v>209</v>
      </c>
    </row>
    <row r="160" spans="1:7" x14ac:dyDescent="0.2">
      <c r="A160" s="3" t="str">
        <f t="shared" si="2"/>
        <v>hazards-sound-unknown-descriptive</v>
      </c>
      <c r="D160" t="s">
        <v>43</v>
      </c>
      <c r="E160" t="s">
        <v>208</v>
      </c>
      <c r="F160" t="s">
        <v>56</v>
      </c>
      <c r="G160" t="s">
        <v>227</v>
      </c>
    </row>
    <row r="161" spans="1:7" x14ac:dyDescent="0.2">
      <c r="A161" s="3" t="str">
        <f t="shared" si="2"/>
        <v>hazards-no-metadata-compact</v>
      </c>
      <c r="D161" t="s">
        <v>43</v>
      </c>
      <c r="E161" t="s">
        <v>33</v>
      </c>
      <c r="F161" t="s">
        <v>57</v>
      </c>
      <c r="G161" t="s">
        <v>75</v>
      </c>
    </row>
    <row r="162" spans="1:7" x14ac:dyDescent="0.2">
      <c r="A162" s="3" t="str">
        <f t="shared" si="2"/>
        <v>hazards-no-metadata-descriptive</v>
      </c>
      <c r="D162" t="s">
        <v>43</v>
      </c>
      <c r="E162" t="s">
        <v>33</v>
      </c>
      <c r="F162" t="s">
        <v>56</v>
      </c>
      <c r="G162" t="s">
        <v>75</v>
      </c>
    </row>
    <row r="163" spans="1:7" x14ac:dyDescent="0.2">
      <c r="A163" s="3" t="str">
        <f t="shared" si="2"/>
        <v>hazards-title-compact</v>
      </c>
      <c r="D163" t="s">
        <v>43</v>
      </c>
      <c r="E163" t="s">
        <v>48</v>
      </c>
      <c r="G163" t="s">
        <v>49</v>
      </c>
    </row>
    <row r="164" spans="1:7" x14ac:dyDescent="0.2">
      <c r="A164" s="3" t="str">
        <f t="shared" si="2"/>
        <v>hazards-none-compact</v>
      </c>
      <c r="D164" t="s">
        <v>43</v>
      </c>
      <c r="E164" t="s">
        <v>27</v>
      </c>
      <c r="F164" t="s">
        <v>57</v>
      </c>
      <c r="G164" t="s">
        <v>28</v>
      </c>
    </row>
    <row r="165" spans="1:7" x14ac:dyDescent="0.2">
      <c r="A165" s="3" t="str">
        <f t="shared" si="2"/>
        <v>hazards-title-compact</v>
      </c>
      <c r="D165" t="s">
        <v>43</v>
      </c>
      <c r="E165" t="s">
        <v>48</v>
      </c>
      <c r="G165" t="s">
        <v>49</v>
      </c>
    </row>
    <row r="166" spans="1:7" x14ac:dyDescent="0.2">
      <c r="A166" s="3" t="str">
        <f t="shared" si="2"/>
        <v>hazards-none-descriptive</v>
      </c>
      <c r="D166" t="s">
        <v>43</v>
      </c>
      <c r="E166" t="s">
        <v>27</v>
      </c>
      <c r="F166" t="s">
        <v>56</v>
      </c>
      <c r="G166" t="s">
        <v>159</v>
      </c>
    </row>
    <row r="167" spans="1:7" x14ac:dyDescent="0.2">
      <c r="A167" s="3" t="str">
        <f t="shared" si="2"/>
        <v>accessibility-summary-title-compact</v>
      </c>
      <c r="D167" t="s">
        <v>43</v>
      </c>
      <c r="E167" t="s">
        <v>50</v>
      </c>
      <c r="G167" t="s">
        <v>51</v>
      </c>
    </row>
    <row r="168" spans="1:7" x14ac:dyDescent="0.2">
      <c r="A168" s="3" t="str">
        <f t="shared" si="2"/>
        <v>accessibility-summary-no-metadata-compact</v>
      </c>
      <c r="D168" t="s">
        <v>43</v>
      </c>
      <c r="E168" t="s">
        <v>34</v>
      </c>
      <c r="F168" t="s">
        <v>57</v>
      </c>
      <c r="G168" t="s">
        <v>75</v>
      </c>
    </row>
    <row r="169" spans="1:7" x14ac:dyDescent="0.2">
      <c r="A169" s="3" t="str">
        <f t="shared" si="2"/>
        <v>accessibility-summary-title-compact</v>
      </c>
      <c r="D169" t="s">
        <v>43</v>
      </c>
      <c r="E169" t="s">
        <v>50</v>
      </c>
      <c r="G169" t="s">
        <v>51</v>
      </c>
    </row>
    <row r="170" spans="1:7" x14ac:dyDescent="0.2">
      <c r="A170" s="3" t="str">
        <f t="shared" si="2"/>
        <v>legal-considerations-title-compact</v>
      </c>
      <c r="D170" t="s">
        <v>43</v>
      </c>
      <c r="E170" t="s">
        <v>58</v>
      </c>
      <c r="G170" t="s">
        <v>59</v>
      </c>
    </row>
    <row r="171" spans="1:7" x14ac:dyDescent="0.2">
      <c r="A171" s="3" t="str">
        <f t="shared" si="2"/>
        <v>legal-considerations-exempt-compact</v>
      </c>
      <c r="D171" t="s">
        <v>43</v>
      </c>
      <c r="E171" t="s">
        <v>113</v>
      </c>
      <c r="F171" t="s">
        <v>57</v>
      </c>
      <c r="G171" t="s">
        <v>128</v>
      </c>
    </row>
    <row r="172" spans="1:7" x14ac:dyDescent="0.2">
      <c r="A172" s="3" t="str">
        <f t="shared" si="2"/>
        <v>legal-considerations-exempt-descriptive</v>
      </c>
      <c r="D172" t="s">
        <v>43</v>
      </c>
      <c r="E172" t="s">
        <v>113</v>
      </c>
      <c r="F172" t="s">
        <v>56</v>
      </c>
      <c r="G172" t="s">
        <v>114</v>
      </c>
    </row>
    <row r="173" spans="1:7" x14ac:dyDescent="0.2">
      <c r="A173" s="3" t="str">
        <f t="shared" si="2"/>
        <v>legal-considerations-no-metadata-compact</v>
      </c>
      <c r="D173" t="s">
        <v>43</v>
      </c>
      <c r="E173" t="s">
        <v>35</v>
      </c>
      <c r="F173" t="s">
        <v>57</v>
      </c>
      <c r="G173" t="s">
        <v>75</v>
      </c>
    </row>
    <row r="174" spans="1:7" x14ac:dyDescent="0.2">
      <c r="A174" s="3" t="str">
        <f t="shared" si="2"/>
        <v>legal-considerations-no-metadata-descriptive</v>
      </c>
      <c r="D174" t="s">
        <v>43</v>
      </c>
      <c r="E174" t="s">
        <v>35</v>
      </c>
      <c r="F174" t="s">
        <v>56</v>
      </c>
      <c r="G174" t="s">
        <v>75</v>
      </c>
    </row>
    <row r="175" spans="1:7" x14ac:dyDescent="0.2">
      <c r="A175" s="3" t="str">
        <f t="shared" si="2"/>
        <v>legal-considerations-title-compact</v>
      </c>
      <c r="D175" t="s">
        <v>43</v>
      </c>
      <c r="E175" t="s">
        <v>58</v>
      </c>
      <c r="G175" t="s">
        <v>59</v>
      </c>
    </row>
    <row r="176" spans="1:7" x14ac:dyDescent="0.2">
      <c r="A176" s="3" t="str">
        <f t="shared" si="2"/>
        <v>legal-considerations-exempt-compact</v>
      </c>
      <c r="D176" t="s">
        <v>43</v>
      </c>
      <c r="E176" t="s">
        <v>113</v>
      </c>
      <c r="F176" t="s">
        <v>57</v>
      </c>
      <c r="G176" t="s">
        <v>128</v>
      </c>
    </row>
    <row r="177" spans="1:7" x14ac:dyDescent="0.2">
      <c r="A177" s="3" t="str">
        <f t="shared" si="2"/>
        <v>legal-considerations-title-compact</v>
      </c>
      <c r="D177" t="s">
        <v>43</v>
      </c>
      <c r="E177" t="s">
        <v>58</v>
      </c>
      <c r="G177" t="s">
        <v>59</v>
      </c>
    </row>
    <row r="178" spans="1:7" x14ac:dyDescent="0.2">
      <c r="A178" s="3" t="str">
        <f t="shared" si="2"/>
        <v>legal-considerations-exempt-descriptive</v>
      </c>
      <c r="D178" t="s">
        <v>43</v>
      </c>
      <c r="E178" t="s">
        <v>113</v>
      </c>
      <c r="F178" t="s">
        <v>56</v>
      </c>
      <c r="G178" t="s">
        <v>114</v>
      </c>
    </row>
    <row r="179" spans="1:7" x14ac:dyDescent="0.2">
      <c r="A179" s="3" t="str">
        <f t="shared" si="2"/>
        <v>additional-accessibility-information-title-compact</v>
      </c>
      <c r="D179" t="s">
        <v>43</v>
      </c>
      <c r="E179" t="s">
        <v>52</v>
      </c>
      <c r="G179" t="s">
        <v>53</v>
      </c>
    </row>
    <row r="180" spans="1:7" x14ac:dyDescent="0.2">
      <c r="A180" s="3" t="str">
        <f t="shared" si="2"/>
        <v>additional-accessibility-information-aria-compact</v>
      </c>
      <c r="D180" t="s">
        <v>43</v>
      </c>
      <c r="E180" t="s">
        <v>177</v>
      </c>
      <c r="F180" t="s">
        <v>57</v>
      </c>
      <c r="G180" t="s">
        <v>161</v>
      </c>
    </row>
    <row r="181" spans="1:7" x14ac:dyDescent="0.2">
      <c r="A181" s="3" t="str">
        <f t="shared" si="2"/>
        <v>additional-accessibility-information-aria-descriptive</v>
      </c>
      <c r="D181" t="s">
        <v>43</v>
      </c>
      <c r="E181" t="s">
        <v>177</v>
      </c>
      <c r="F181" t="s">
        <v>56</v>
      </c>
      <c r="G181" t="s">
        <v>162</v>
      </c>
    </row>
    <row r="182" spans="1:7" x14ac:dyDescent="0.2">
      <c r="A182" s="3" t="str">
        <f t="shared" si="2"/>
        <v>additional-accessibility-information-page-breaks-compact</v>
      </c>
      <c r="D182" t="s">
        <v>43</v>
      </c>
      <c r="E182" t="s">
        <v>176</v>
      </c>
      <c r="F182" t="s">
        <v>57</v>
      </c>
      <c r="G182" t="s">
        <v>163</v>
      </c>
    </row>
    <row r="183" spans="1:7" x14ac:dyDescent="0.2">
      <c r="A183" s="3" t="str">
        <f t="shared" si="2"/>
        <v>additional-accessibility-information-page-breaks-descriptive</v>
      </c>
      <c r="D183" t="s">
        <v>43</v>
      </c>
      <c r="E183" t="s">
        <v>176</v>
      </c>
      <c r="F183" t="s">
        <v>56</v>
      </c>
      <c r="G183" t="s">
        <v>164</v>
      </c>
    </row>
    <row r="184" spans="1:7" x14ac:dyDescent="0.2">
      <c r="A184" s="3" t="str">
        <f t="shared" si="2"/>
        <v>additional-accessibility-information-tactile-graphics-compact</v>
      </c>
      <c r="D184" t="s">
        <v>43</v>
      </c>
      <c r="E184" t="s">
        <v>183</v>
      </c>
      <c r="F184" t="s">
        <v>57</v>
      </c>
      <c r="G184" t="s">
        <v>165</v>
      </c>
    </row>
    <row r="185" spans="1:7" x14ac:dyDescent="0.2">
      <c r="A185" s="3" t="str">
        <f t="shared" si="2"/>
        <v>additional-accessibility-information-tactile-graphics-descriptive</v>
      </c>
      <c r="D185" t="s">
        <v>43</v>
      </c>
      <c r="E185" t="s">
        <v>183</v>
      </c>
      <c r="F185" t="s">
        <v>56</v>
      </c>
      <c r="G185" t="s">
        <v>166</v>
      </c>
    </row>
    <row r="186" spans="1:7" x14ac:dyDescent="0.2">
      <c r="A186" s="3" t="str">
        <f t="shared" si="2"/>
        <v>additional-accessibility-information-title-compact</v>
      </c>
      <c r="D186" t="s">
        <v>43</v>
      </c>
      <c r="E186" t="s">
        <v>52</v>
      </c>
      <c r="G186" t="s">
        <v>53</v>
      </c>
    </row>
    <row r="187" spans="1:7" x14ac:dyDescent="0.2">
      <c r="A187" s="3" t="str">
        <f t="shared" si="2"/>
        <v>additional-accessibility-information-aria-compact</v>
      </c>
      <c r="D187" t="s">
        <v>43</v>
      </c>
      <c r="E187" t="s">
        <v>177</v>
      </c>
      <c r="F187" t="s">
        <v>57</v>
      </c>
      <c r="G187" t="s">
        <v>161</v>
      </c>
    </row>
    <row r="188" spans="1:7" x14ac:dyDescent="0.2">
      <c r="A188" s="3" t="str">
        <f t="shared" si="2"/>
        <v>additional-accessibility-information-page-breaks-compact</v>
      </c>
      <c r="D188" t="s">
        <v>43</v>
      </c>
      <c r="E188" t="s">
        <v>176</v>
      </c>
      <c r="F188" t="s">
        <v>57</v>
      </c>
      <c r="G188" t="s">
        <v>163</v>
      </c>
    </row>
    <row r="189" spans="1:7" x14ac:dyDescent="0.2">
      <c r="A189" s="3" t="str">
        <f t="shared" si="2"/>
        <v>additional-accessibility-information-title-compact</v>
      </c>
      <c r="D189" t="s">
        <v>43</v>
      </c>
      <c r="E189" t="s">
        <v>52</v>
      </c>
      <c r="G189" t="s">
        <v>53</v>
      </c>
    </row>
    <row r="190" spans="1:7" x14ac:dyDescent="0.2">
      <c r="A190" s="3" t="str">
        <f t="shared" si="2"/>
        <v>additional-accessibility-information-aria-descriptive</v>
      </c>
      <c r="D190" t="s">
        <v>43</v>
      </c>
      <c r="E190" t="s">
        <v>177</v>
      </c>
      <c r="F190" t="s">
        <v>56</v>
      </c>
      <c r="G190" t="s">
        <v>162</v>
      </c>
    </row>
    <row r="191" spans="1:7" x14ac:dyDescent="0.2">
      <c r="A191" s="3" t="str">
        <f t="shared" si="2"/>
        <v>additional-accessibility-information-page-breaks-descriptive</v>
      </c>
      <c r="D191" t="s">
        <v>43</v>
      </c>
      <c r="E191" t="s">
        <v>176</v>
      </c>
      <c r="F191" t="s">
        <v>56</v>
      </c>
      <c r="G191" t="s">
        <v>164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5E2ED-EB14-6D43-B054-42CEC3458CC1}">
  <dimension ref="A1:E82"/>
  <sheetViews>
    <sheetView workbookViewId="0">
      <selection sqref="A1:E82"/>
    </sheetView>
  </sheetViews>
  <sheetFormatPr baseColWidth="10" defaultRowHeight="16" x14ac:dyDescent="0.2"/>
  <cols>
    <col min="4" max="4" width="69.1640625" bestFit="1" customWidth="1"/>
    <col min="5" max="5" width="64.6640625" bestFit="1" customWidth="1"/>
  </cols>
  <sheetData>
    <row r="1" spans="1:5" x14ac:dyDescent="0.2">
      <c r="A1" t="s">
        <v>37</v>
      </c>
      <c r="B1" t="s">
        <v>38</v>
      </c>
      <c r="C1" t="s">
        <v>39</v>
      </c>
      <c r="D1" t="s">
        <v>40</v>
      </c>
      <c r="E1" t="s">
        <v>41</v>
      </c>
    </row>
    <row r="2" spans="1:5" x14ac:dyDescent="0.2">
      <c r="B2" t="s">
        <v>42</v>
      </c>
      <c r="C2" t="s">
        <v>43</v>
      </c>
      <c r="D2" t="s">
        <v>133</v>
      </c>
      <c r="E2" t="s">
        <v>134</v>
      </c>
    </row>
    <row r="3" spans="1:5" x14ac:dyDescent="0.2">
      <c r="C3" t="s">
        <v>43</v>
      </c>
      <c r="D3" t="s">
        <v>44</v>
      </c>
      <c r="E3" t="s">
        <v>45</v>
      </c>
    </row>
    <row r="4" spans="1:5" x14ac:dyDescent="0.2">
      <c r="C4" t="s">
        <v>43</v>
      </c>
      <c r="D4" t="s">
        <v>46</v>
      </c>
      <c r="E4" t="s">
        <v>47</v>
      </c>
    </row>
    <row r="5" spans="1:5" x14ac:dyDescent="0.2">
      <c r="C5" t="s">
        <v>43</v>
      </c>
      <c r="D5" t="s">
        <v>115</v>
      </c>
      <c r="E5" t="s">
        <v>93</v>
      </c>
    </row>
    <row r="6" spans="1:5" x14ac:dyDescent="0.2">
      <c r="C6" t="s">
        <v>43</v>
      </c>
      <c r="D6" t="s">
        <v>48</v>
      </c>
      <c r="E6" t="s">
        <v>49</v>
      </c>
    </row>
    <row r="7" spans="1:5" x14ac:dyDescent="0.2">
      <c r="C7" t="s">
        <v>43</v>
      </c>
      <c r="D7" t="s">
        <v>50</v>
      </c>
      <c r="E7" t="s">
        <v>51</v>
      </c>
    </row>
    <row r="8" spans="1:5" x14ac:dyDescent="0.2">
      <c r="C8" t="s">
        <v>43</v>
      </c>
      <c r="D8" t="s">
        <v>58</v>
      </c>
      <c r="E8" t="s">
        <v>59</v>
      </c>
    </row>
    <row r="9" spans="1:5" x14ac:dyDescent="0.2">
      <c r="C9" t="s">
        <v>43</v>
      </c>
      <c r="D9" t="s">
        <v>52</v>
      </c>
      <c r="E9" t="s">
        <v>53</v>
      </c>
    </row>
    <row r="10" spans="1:5" x14ac:dyDescent="0.2">
      <c r="C10" t="s">
        <v>43</v>
      </c>
      <c r="D10" t="s">
        <v>135</v>
      </c>
      <c r="E10" t="s">
        <v>36</v>
      </c>
    </row>
    <row r="11" spans="1:5" x14ac:dyDescent="0.2">
      <c r="C11" t="s">
        <v>43</v>
      </c>
      <c r="D11" t="s">
        <v>136</v>
      </c>
      <c r="E11" t="s">
        <v>1</v>
      </c>
    </row>
    <row r="12" spans="1:5" x14ac:dyDescent="0.2">
      <c r="C12" t="s">
        <v>43</v>
      </c>
      <c r="D12" t="s">
        <v>137</v>
      </c>
      <c r="E12" t="s">
        <v>138</v>
      </c>
    </row>
    <row r="13" spans="1:5" x14ac:dyDescent="0.2">
      <c r="C13" t="s">
        <v>43</v>
      </c>
      <c r="D13" t="s">
        <v>141</v>
      </c>
      <c r="E13" t="s">
        <v>78</v>
      </c>
    </row>
    <row r="14" spans="1:5" x14ac:dyDescent="0.2">
      <c r="C14" t="s">
        <v>43</v>
      </c>
      <c r="D14" t="s">
        <v>142</v>
      </c>
      <c r="E14" t="s">
        <v>79</v>
      </c>
    </row>
    <row r="15" spans="1:5" x14ac:dyDescent="0.2">
      <c r="C15" t="s">
        <v>43</v>
      </c>
      <c r="D15" t="s">
        <v>185</v>
      </c>
      <c r="E15" t="s">
        <v>186</v>
      </c>
    </row>
    <row r="16" spans="1:5" x14ac:dyDescent="0.2">
      <c r="C16" t="s">
        <v>43</v>
      </c>
      <c r="D16" t="s">
        <v>188</v>
      </c>
      <c r="E16" t="s">
        <v>189</v>
      </c>
    </row>
    <row r="17" spans="3:5" x14ac:dyDescent="0.2">
      <c r="C17" t="s">
        <v>43</v>
      </c>
      <c r="D17" t="s">
        <v>139</v>
      </c>
      <c r="E17" t="s">
        <v>143</v>
      </c>
    </row>
    <row r="18" spans="3:5" x14ac:dyDescent="0.2">
      <c r="C18" t="s">
        <v>43</v>
      </c>
      <c r="D18" t="s">
        <v>145</v>
      </c>
      <c r="E18" t="s">
        <v>84</v>
      </c>
    </row>
    <row r="19" spans="3:5" x14ac:dyDescent="0.2">
      <c r="C19" t="s">
        <v>43</v>
      </c>
      <c r="D19" t="s">
        <v>144</v>
      </c>
      <c r="E19" t="s">
        <v>153</v>
      </c>
    </row>
    <row r="20" spans="3:5" x14ac:dyDescent="0.2">
      <c r="C20" t="s">
        <v>43</v>
      </c>
      <c r="D20" t="s">
        <v>146</v>
      </c>
      <c r="E20" t="s">
        <v>190</v>
      </c>
    </row>
    <row r="21" spans="3:5" x14ac:dyDescent="0.2">
      <c r="C21" t="s">
        <v>43</v>
      </c>
      <c r="D21" t="s">
        <v>147</v>
      </c>
      <c r="E21" t="s">
        <v>148</v>
      </c>
    </row>
    <row r="22" spans="3:5" x14ac:dyDescent="0.2">
      <c r="C22" t="s">
        <v>43</v>
      </c>
      <c r="D22" t="s">
        <v>9</v>
      </c>
      <c r="E22" t="s">
        <v>75</v>
      </c>
    </row>
    <row r="23" spans="3:5" x14ac:dyDescent="0.2">
      <c r="C23" t="s">
        <v>43</v>
      </c>
      <c r="D23" t="s">
        <v>2</v>
      </c>
      <c r="E23" t="s">
        <v>3</v>
      </c>
    </row>
    <row r="24" spans="3:5" x14ac:dyDescent="0.2">
      <c r="C24" t="s">
        <v>43</v>
      </c>
      <c r="D24" t="s">
        <v>4</v>
      </c>
      <c r="E24" t="s">
        <v>5</v>
      </c>
    </row>
    <row r="25" spans="3:5" x14ac:dyDescent="0.2">
      <c r="C25" t="s">
        <v>43</v>
      </c>
      <c r="D25" t="s">
        <v>6</v>
      </c>
      <c r="E25" t="s">
        <v>7</v>
      </c>
    </row>
    <row r="26" spans="3:5" x14ac:dyDescent="0.2">
      <c r="C26" t="s">
        <v>43</v>
      </c>
      <c r="D26" t="s">
        <v>60</v>
      </c>
      <c r="E26" t="s">
        <v>8</v>
      </c>
    </row>
    <row r="27" spans="3:5" x14ac:dyDescent="0.2">
      <c r="C27" t="s">
        <v>43</v>
      </c>
      <c r="D27" t="s">
        <v>10</v>
      </c>
      <c r="E27" t="s">
        <v>228</v>
      </c>
    </row>
    <row r="28" spans="3:5" x14ac:dyDescent="0.2">
      <c r="C28" t="s">
        <v>43</v>
      </c>
      <c r="D28" t="s">
        <v>11</v>
      </c>
      <c r="E28" t="s">
        <v>229</v>
      </c>
    </row>
    <row r="29" spans="3:5" x14ac:dyDescent="0.2">
      <c r="C29" t="s">
        <v>43</v>
      </c>
      <c r="D29" t="s">
        <v>193</v>
      </c>
      <c r="E29" t="s">
        <v>230</v>
      </c>
    </row>
    <row r="30" spans="3:5" x14ac:dyDescent="0.2">
      <c r="C30" t="s">
        <v>43</v>
      </c>
      <c r="D30" t="s">
        <v>194</v>
      </c>
      <c r="E30" t="s">
        <v>15</v>
      </c>
    </row>
    <row r="31" spans="3:5" x14ac:dyDescent="0.2">
      <c r="C31" t="s">
        <v>43</v>
      </c>
      <c r="D31" t="s">
        <v>199</v>
      </c>
      <c r="E31" t="s">
        <v>14</v>
      </c>
    </row>
    <row r="32" spans="3:5" x14ac:dyDescent="0.2">
      <c r="C32" t="s">
        <v>43</v>
      </c>
      <c r="D32" t="s">
        <v>200</v>
      </c>
      <c r="E32" t="s">
        <v>16</v>
      </c>
    </row>
    <row r="33" spans="3:5" x14ac:dyDescent="0.2">
      <c r="C33" t="s">
        <v>43</v>
      </c>
      <c r="D33" t="s">
        <v>195</v>
      </c>
      <c r="E33" t="s">
        <v>17</v>
      </c>
    </row>
    <row r="34" spans="3:5" x14ac:dyDescent="0.2">
      <c r="C34" t="s">
        <v>43</v>
      </c>
      <c r="D34" t="s">
        <v>201</v>
      </c>
      <c r="E34" t="s">
        <v>18</v>
      </c>
    </row>
    <row r="35" spans="3:5" x14ac:dyDescent="0.2">
      <c r="C35" t="s">
        <v>43</v>
      </c>
      <c r="D35" t="s">
        <v>202</v>
      </c>
      <c r="E35" t="s">
        <v>19</v>
      </c>
    </row>
    <row r="36" spans="3:5" x14ac:dyDescent="0.2">
      <c r="C36" t="s">
        <v>43</v>
      </c>
      <c r="D36" t="s">
        <v>196</v>
      </c>
      <c r="E36" t="s">
        <v>20</v>
      </c>
    </row>
    <row r="37" spans="3:5" x14ac:dyDescent="0.2">
      <c r="C37" t="s">
        <v>43</v>
      </c>
      <c r="D37" t="s">
        <v>203</v>
      </c>
      <c r="E37" t="s">
        <v>21</v>
      </c>
    </row>
    <row r="38" spans="3:5" x14ac:dyDescent="0.2">
      <c r="C38" t="s">
        <v>43</v>
      </c>
      <c r="D38" t="s">
        <v>197</v>
      </c>
      <c r="E38" t="s">
        <v>231</v>
      </c>
    </row>
    <row r="39" spans="3:5" x14ac:dyDescent="0.2">
      <c r="C39" t="s">
        <v>43</v>
      </c>
      <c r="D39" t="s">
        <v>198</v>
      </c>
      <c r="E39" t="s">
        <v>74</v>
      </c>
    </row>
    <row r="40" spans="3:5" x14ac:dyDescent="0.2">
      <c r="C40" t="s">
        <v>43</v>
      </c>
      <c r="D40" t="s">
        <v>24</v>
      </c>
      <c r="E40" t="s">
        <v>92</v>
      </c>
    </row>
    <row r="41" spans="3:5" x14ac:dyDescent="0.2">
      <c r="C41" t="s">
        <v>43</v>
      </c>
      <c r="D41" t="s">
        <v>25</v>
      </c>
      <c r="E41" t="s">
        <v>91</v>
      </c>
    </row>
    <row r="42" spans="3:5" x14ac:dyDescent="0.2">
      <c r="C42" t="s">
        <v>43</v>
      </c>
      <c r="D42" t="s">
        <v>23</v>
      </c>
      <c r="E42" t="s">
        <v>90</v>
      </c>
    </row>
    <row r="43" spans="3:5" x14ac:dyDescent="0.2">
      <c r="C43" t="s">
        <v>43</v>
      </c>
      <c r="D43" t="s">
        <v>22</v>
      </c>
      <c r="E43" t="s">
        <v>89</v>
      </c>
    </row>
    <row r="44" spans="3:5" x14ac:dyDescent="0.2">
      <c r="C44" t="s">
        <v>43</v>
      </c>
      <c r="D44" t="s">
        <v>26</v>
      </c>
      <c r="E44" t="s">
        <v>75</v>
      </c>
    </row>
    <row r="45" spans="3:5" x14ac:dyDescent="0.2">
      <c r="C45" t="s">
        <v>43</v>
      </c>
      <c r="D45" t="s">
        <v>102</v>
      </c>
      <c r="E45" t="s">
        <v>103</v>
      </c>
    </row>
    <row r="46" spans="3:5" x14ac:dyDescent="0.2">
      <c r="C46" t="s">
        <v>43</v>
      </c>
      <c r="D46" t="s">
        <v>101</v>
      </c>
      <c r="E46" t="s">
        <v>152</v>
      </c>
    </row>
    <row r="47" spans="3:5" x14ac:dyDescent="0.2">
      <c r="C47" t="s">
        <v>43</v>
      </c>
      <c r="D47" t="s">
        <v>99</v>
      </c>
      <c r="E47" t="s">
        <v>107</v>
      </c>
    </row>
    <row r="48" spans="3:5" x14ac:dyDescent="0.2">
      <c r="C48" t="s">
        <v>43</v>
      </c>
      <c r="D48" t="s">
        <v>98</v>
      </c>
      <c r="E48" t="s">
        <v>156</v>
      </c>
    </row>
    <row r="49" spans="3:5" x14ac:dyDescent="0.2">
      <c r="C49" t="s">
        <v>43</v>
      </c>
      <c r="D49" t="s">
        <v>97</v>
      </c>
      <c r="E49" t="s">
        <v>151</v>
      </c>
    </row>
    <row r="50" spans="3:5" x14ac:dyDescent="0.2">
      <c r="C50" t="s">
        <v>43</v>
      </c>
      <c r="D50" t="s">
        <v>95</v>
      </c>
      <c r="E50" t="s">
        <v>106</v>
      </c>
    </row>
    <row r="51" spans="3:5" x14ac:dyDescent="0.2">
      <c r="C51" t="s">
        <v>43</v>
      </c>
      <c r="D51" t="s">
        <v>116</v>
      </c>
      <c r="E51" t="s">
        <v>108</v>
      </c>
    </row>
    <row r="52" spans="3:5" x14ac:dyDescent="0.2">
      <c r="C52" t="s">
        <v>43</v>
      </c>
      <c r="D52" t="s">
        <v>117</v>
      </c>
      <c r="E52" t="s">
        <v>109</v>
      </c>
    </row>
    <row r="53" spans="3:5" x14ac:dyDescent="0.2">
      <c r="C53" t="s">
        <v>43</v>
      </c>
      <c r="D53" t="s">
        <v>118</v>
      </c>
      <c r="E53" t="s">
        <v>157</v>
      </c>
    </row>
    <row r="54" spans="3:5" x14ac:dyDescent="0.2">
      <c r="C54" t="s">
        <v>43</v>
      </c>
      <c r="D54" t="s">
        <v>94</v>
      </c>
      <c r="E54" t="s">
        <v>75</v>
      </c>
    </row>
    <row r="55" spans="3:5" x14ac:dyDescent="0.2">
      <c r="C55" t="s">
        <v>43</v>
      </c>
      <c r="D55" t="s">
        <v>27</v>
      </c>
      <c r="E55" t="s">
        <v>28</v>
      </c>
    </row>
    <row r="56" spans="3:5" x14ac:dyDescent="0.2">
      <c r="C56" t="s">
        <v>43</v>
      </c>
      <c r="D56" t="s">
        <v>32</v>
      </c>
      <c r="E56" t="s">
        <v>73</v>
      </c>
    </row>
    <row r="57" spans="3:5" x14ac:dyDescent="0.2">
      <c r="C57" t="s">
        <v>43</v>
      </c>
      <c r="D57" t="s">
        <v>29</v>
      </c>
      <c r="E57" t="s">
        <v>111</v>
      </c>
    </row>
    <row r="58" spans="3:5" x14ac:dyDescent="0.2">
      <c r="C58" t="s">
        <v>43</v>
      </c>
      <c r="D58" t="s">
        <v>30</v>
      </c>
      <c r="E58" t="s">
        <v>112</v>
      </c>
    </row>
    <row r="59" spans="3:5" x14ac:dyDescent="0.2">
      <c r="C59" t="s">
        <v>43</v>
      </c>
      <c r="D59" t="s">
        <v>31</v>
      </c>
      <c r="E59" t="s">
        <v>158</v>
      </c>
    </row>
    <row r="60" spans="3:5" x14ac:dyDescent="0.2">
      <c r="C60" t="s">
        <v>43</v>
      </c>
      <c r="D60" t="s">
        <v>204</v>
      </c>
      <c r="E60" t="s">
        <v>205</v>
      </c>
    </row>
    <row r="61" spans="3:5" x14ac:dyDescent="0.2">
      <c r="C61" t="s">
        <v>43</v>
      </c>
      <c r="D61" t="s">
        <v>206</v>
      </c>
      <c r="E61" t="s">
        <v>207</v>
      </c>
    </row>
    <row r="62" spans="3:5" x14ac:dyDescent="0.2">
      <c r="C62" t="s">
        <v>43</v>
      </c>
      <c r="D62" t="s">
        <v>208</v>
      </c>
      <c r="E62" t="s">
        <v>209</v>
      </c>
    </row>
    <row r="63" spans="3:5" x14ac:dyDescent="0.2">
      <c r="C63" t="s">
        <v>43</v>
      </c>
      <c r="D63" t="s">
        <v>210</v>
      </c>
      <c r="E63" t="s">
        <v>211</v>
      </c>
    </row>
    <row r="64" spans="3:5" x14ac:dyDescent="0.2">
      <c r="C64" t="s">
        <v>43</v>
      </c>
      <c r="D64" t="s">
        <v>212</v>
      </c>
      <c r="E64" t="s">
        <v>213</v>
      </c>
    </row>
    <row r="65" spans="3:5" x14ac:dyDescent="0.2">
      <c r="C65" t="s">
        <v>43</v>
      </c>
      <c r="D65" t="s">
        <v>214</v>
      </c>
      <c r="E65" t="s">
        <v>215</v>
      </c>
    </row>
    <row r="66" spans="3:5" x14ac:dyDescent="0.2">
      <c r="C66" t="s">
        <v>43</v>
      </c>
      <c r="D66" t="s">
        <v>33</v>
      </c>
      <c r="E66" t="s">
        <v>75</v>
      </c>
    </row>
    <row r="67" spans="3:5" x14ac:dyDescent="0.2">
      <c r="C67" t="s">
        <v>43</v>
      </c>
      <c r="D67" t="s">
        <v>34</v>
      </c>
      <c r="E67" t="s">
        <v>75</v>
      </c>
    </row>
    <row r="68" spans="3:5" x14ac:dyDescent="0.2">
      <c r="C68" t="s">
        <v>43</v>
      </c>
      <c r="D68" t="s">
        <v>113</v>
      </c>
      <c r="E68" t="s">
        <v>128</v>
      </c>
    </row>
    <row r="69" spans="3:5" x14ac:dyDescent="0.2">
      <c r="C69" t="s">
        <v>43</v>
      </c>
      <c r="D69" t="s">
        <v>35</v>
      </c>
      <c r="E69" t="s">
        <v>75</v>
      </c>
    </row>
    <row r="70" spans="3:5" x14ac:dyDescent="0.2">
      <c r="C70" t="s">
        <v>43</v>
      </c>
      <c r="D70" t="s">
        <v>176</v>
      </c>
      <c r="E70" t="s">
        <v>163</v>
      </c>
    </row>
    <row r="71" spans="3:5" x14ac:dyDescent="0.2">
      <c r="C71" t="s">
        <v>43</v>
      </c>
      <c r="D71" t="s">
        <v>177</v>
      </c>
      <c r="E71" t="s">
        <v>161</v>
      </c>
    </row>
    <row r="72" spans="3:5" x14ac:dyDescent="0.2">
      <c r="C72" t="s">
        <v>43</v>
      </c>
      <c r="D72" t="s">
        <v>178</v>
      </c>
      <c r="E72" t="s">
        <v>129</v>
      </c>
    </row>
    <row r="73" spans="3:5" x14ac:dyDescent="0.2">
      <c r="C73" t="s">
        <v>43</v>
      </c>
      <c r="D73" t="s">
        <v>179</v>
      </c>
      <c r="E73" t="s">
        <v>154</v>
      </c>
    </row>
    <row r="74" spans="3:5" x14ac:dyDescent="0.2">
      <c r="C74" t="s">
        <v>43</v>
      </c>
      <c r="D74" t="s">
        <v>180</v>
      </c>
      <c r="E74" t="s">
        <v>130</v>
      </c>
    </row>
    <row r="75" spans="3:5" x14ac:dyDescent="0.2">
      <c r="C75" t="s">
        <v>43</v>
      </c>
      <c r="D75" t="s">
        <v>169</v>
      </c>
      <c r="E75" t="s">
        <v>126</v>
      </c>
    </row>
    <row r="76" spans="3:5" x14ac:dyDescent="0.2">
      <c r="C76" t="s">
        <v>43</v>
      </c>
      <c r="D76" t="s">
        <v>170</v>
      </c>
      <c r="E76" t="s">
        <v>131</v>
      </c>
    </row>
    <row r="77" spans="3:5" x14ac:dyDescent="0.2">
      <c r="C77" t="s">
        <v>43</v>
      </c>
      <c r="D77" t="s">
        <v>181</v>
      </c>
      <c r="E77" t="s">
        <v>132</v>
      </c>
    </row>
    <row r="78" spans="3:5" x14ac:dyDescent="0.2">
      <c r="C78" t="s">
        <v>43</v>
      </c>
      <c r="D78" t="s">
        <v>182</v>
      </c>
      <c r="E78" t="s">
        <v>233</v>
      </c>
    </row>
    <row r="79" spans="3:5" x14ac:dyDescent="0.2">
      <c r="C79" t="s">
        <v>43</v>
      </c>
      <c r="D79" t="s">
        <v>171</v>
      </c>
      <c r="E79" t="s">
        <v>120</v>
      </c>
    </row>
    <row r="80" spans="3:5" x14ac:dyDescent="0.2">
      <c r="C80" t="s">
        <v>43</v>
      </c>
      <c r="D80" t="s">
        <v>183</v>
      </c>
      <c r="E80" t="s">
        <v>165</v>
      </c>
    </row>
    <row r="81" spans="3:5" x14ac:dyDescent="0.2">
      <c r="C81" t="s">
        <v>43</v>
      </c>
      <c r="D81" t="s">
        <v>184</v>
      </c>
      <c r="E81" t="s">
        <v>155</v>
      </c>
    </row>
    <row r="82" spans="3:5" x14ac:dyDescent="0.2">
      <c r="C82" t="s">
        <v>43</v>
      </c>
      <c r="D82" t="s">
        <v>172</v>
      </c>
      <c r="E82" t="s">
        <v>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4B443-C64F-5248-8FD1-CED7D8535BBE}">
  <dimension ref="A1:E79"/>
  <sheetViews>
    <sheetView topLeftCell="A60" workbookViewId="0">
      <selection activeCell="D82" sqref="D82"/>
    </sheetView>
  </sheetViews>
  <sheetFormatPr baseColWidth="10" defaultRowHeight="16" x14ac:dyDescent="0.2"/>
  <cols>
    <col min="4" max="4" width="85.6640625" bestFit="1" customWidth="1"/>
    <col min="5" max="5" width="49.1640625" bestFit="1" customWidth="1"/>
  </cols>
  <sheetData>
    <row r="1" spans="1:5" x14ac:dyDescent="0.2">
      <c r="A1" t="s">
        <v>37</v>
      </c>
      <c r="B1" t="s">
        <v>38</v>
      </c>
      <c r="C1" t="s">
        <v>39</v>
      </c>
      <c r="D1" t="s">
        <v>40</v>
      </c>
      <c r="E1" t="s">
        <v>41</v>
      </c>
    </row>
    <row r="2" spans="1:5" x14ac:dyDescent="0.2">
      <c r="B2" t="s">
        <v>42</v>
      </c>
      <c r="C2" t="s">
        <v>43</v>
      </c>
      <c r="D2" t="s">
        <v>133</v>
      </c>
      <c r="E2" t="s">
        <v>134</v>
      </c>
    </row>
    <row r="3" spans="1:5" x14ac:dyDescent="0.2">
      <c r="C3" t="s">
        <v>43</v>
      </c>
      <c r="D3" t="s">
        <v>44</v>
      </c>
      <c r="E3" t="s">
        <v>45</v>
      </c>
    </row>
    <row r="4" spans="1:5" x14ac:dyDescent="0.2">
      <c r="C4" t="s">
        <v>43</v>
      </c>
      <c r="D4" t="s">
        <v>46</v>
      </c>
      <c r="E4" t="s">
        <v>47</v>
      </c>
    </row>
    <row r="5" spans="1:5" x14ac:dyDescent="0.2">
      <c r="C5" t="s">
        <v>43</v>
      </c>
      <c r="D5" t="s">
        <v>115</v>
      </c>
      <c r="E5" t="s">
        <v>93</v>
      </c>
    </row>
    <row r="6" spans="1:5" x14ac:dyDescent="0.2">
      <c r="C6" t="s">
        <v>43</v>
      </c>
      <c r="D6" t="s">
        <v>48</v>
      </c>
      <c r="E6" t="s">
        <v>49</v>
      </c>
    </row>
    <row r="7" spans="1:5" x14ac:dyDescent="0.2">
      <c r="C7" t="s">
        <v>43</v>
      </c>
      <c r="D7" t="s">
        <v>50</v>
      </c>
      <c r="E7" t="s">
        <v>51</v>
      </c>
    </row>
    <row r="8" spans="1:5" x14ac:dyDescent="0.2">
      <c r="C8" t="s">
        <v>43</v>
      </c>
      <c r="D8" t="s">
        <v>58</v>
      </c>
      <c r="E8" t="s">
        <v>59</v>
      </c>
    </row>
    <row r="9" spans="1:5" x14ac:dyDescent="0.2">
      <c r="C9" t="s">
        <v>43</v>
      </c>
      <c r="D9" t="s">
        <v>52</v>
      </c>
      <c r="E9" t="s">
        <v>53</v>
      </c>
    </row>
    <row r="10" spans="1:5" x14ac:dyDescent="0.2">
      <c r="C10" t="s">
        <v>43</v>
      </c>
      <c r="D10" t="s">
        <v>135</v>
      </c>
      <c r="E10" t="s">
        <v>36</v>
      </c>
    </row>
    <row r="11" spans="1:5" x14ac:dyDescent="0.2">
      <c r="C11" t="s">
        <v>43</v>
      </c>
      <c r="D11" t="s">
        <v>136</v>
      </c>
      <c r="E11" t="s">
        <v>1</v>
      </c>
    </row>
    <row r="12" spans="1:5" x14ac:dyDescent="0.2">
      <c r="C12" t="s">
        <v>43</v>
      </c>
      <c r="D12" t="s">
        <v>137</v>
      </c>
      <c r="E12" t="s">
        <v>138</v>
      </c>
    </row>
    <row r="13" spans="1:5" x14ac:dyDescent="0.2">
      <c r="C13" t="s">
        <v>43</v>
      </c>
      <c r="D13" t="s">
        <v>141</v>
      </c>
      <c r="E13" t="s">
        <v>78</v>
      </c>
    </row>
    <row r="14" spans="1:5" x14ac:dyDescent="0.2">
      <c r="C14" t="s">
        <v>43</v>
      </c>
      <c r="D14" t="s">
        <v>142</v>
      </c>
      <c r="E14" t="s">
        <v>79</v>
      </c>
    </row>
    <row r="15" spans="1:5" x14ac:dyDescent="0.2">
      <c r="C15" t="s">
        <v>43</v>
      </c>
      <c r="D15" t="s">
        <v>185</v>
      </c>
      <c r="E15" t="s">
        <v>186</v>
      </c>
    </row>
    <row r="16" spans="1:5" x14ac:dyDescent="0.2">
      <c r="C16" t="s">
        <v>43</v>
      </c>
      <c r="D16" t="s">
        <v>188</v>
      </c>
      <c r="E16" t="s">
        <v>189</v>
      </c>
    </row>
    <row r="17" spans="3:5" x14ac:dyDescent="0.2">
      <c r="C17" t="s">
        <v>43</v>
      </c>
      <c r="D17" t="s">
        <v>139</v>
      </c>
      <c r="E17" t="s">
        <v>143</v>
      </c>
    </row>
    <row r="18" spans="3:5" x14ac:dyDescent="0.2">
      <c r="C18" t="s">
        <v>43</v>
      </c>
      <c r="D18" t="s">
        <v>144</v>
      </c>
      <c r="E18" t="s">
        <v>153</v>
      </c>
    </row>
    <row r="19" spans="3:5" x14ac:dyDescent="0.2">
      <c r="C19" t="s">
        <v>43</v>
      </c>
      <c r="D19" t="s">
        <v>146</v>
      </c>
      <c r="E19" t="s">
        <v>190</v>
      </c>
    </row>
    <row r="20" spans="3:5" x14ac:dyDescent="0.2">
      <c r="C20" t="s">
        <v>43</v>
      </c>
      <c r="D20" t="s">
        <v>145</v>
      </c>
      <c r="E20" t="s">
        <v>84</v>
      </c>
    </row>
    <row r="21" spans="3:5" x14ac:dyDescent="0.2">
      <c r="C21" t="s">
        <v>43</v>
      </c>
      <c r="D21" t="s">
        <v>147</v>
      </c>
      <c r="E21" t="s">
        <v>148</v>
      </c>
    </row>
    <row r="22" spans="3:5" x14ac:dyDescent="0.2">
      <c r="C22" t="s">
        <v>43</v>
      </c>
      <c r="D22" t="s">
        <v>2</v>
      </c>
      <c r="E22" t="s">
        <v>3</v>
      </c>
    </row>
    <row r="23" spans="3:5" x14ac:dyDescent="0.2">
      <c r="C23" t="s">
        <v>43</v>
      </c>
      <c r="D23" t="s">
        <v>4</v>
      </c>
      <c r="E23" t="s">
        <v>5</v>
      </c>
    </row>
    <row r="24" spans="3:5" x14ac:dyDescent="0.2">
      <c r="C24" t="s">
        <v>43</v>
      </c>
      <c r="D24" t="s">
        <v>6</v>
      </c>
      <c r="E24" t="s">
        <v>7</v>
      </c>
    </row>
    <row r="25" spans="3:5" x14ac:dyDescent="0.2">
      <c r="C25" t="s">
        <v>43</v>
      </c>
      <c r="D25" t="s">
        <v>9</v>
      </c>
      <c r="E25" t="s">
        <v>75</v>
      </c>
    </row>
    <row r="26" spans="3:5" x14ac:dyDescent="0.2">
      <c r="C26" t="s">
        <v>43</v>
      </c>
      <c r="D26" t="s">
        <v>10</v>
      </c>
      <c r="E26" t="s">
        <v>228</v>
      </c>
    </row>
    <row r="27" spans="3:5" x14ac:dyDescent="0.2">
      <c r="C27" t="s">
        <v>43</v>
      </c>
      <c r="D27" t="s">
        <v>11</v>
      </c>
      <c r="E27" t="s">
        <v>229</v>
      </c>
    </row>
    <row r="28" spans="3:5" x14ac:dyDescent="0.2">
      <c r="C28" t="s">
        <v>43</v>
      </c>
      <c r="D28" t="s">
        <v>193</v>
      </c>
      <c r="E28" t="s">
        <v>230</v>
      </c>
    </row>
    <row r="29" spans="3:5" x14ac:dyDescent="0.2">
      <c r="C29" t="s">
        <v>43</v>
      </c>
      <c r="D29" t="s">
        <v>194</v>
      </c>
      <c r="E29" t="s">
        <v>15</v>
      </c>
    </row>
    <row r="30" spans="3:5" x14ac:dyDescent="0.2">
      <c r="C30" t="s">
        <v>43</v>
      </c>
      <c r="D30" t="s">
        <v>199</v>
      </c>
      <c r="E30" t="s">
        <v>14</v>
      </c>
    </row>
    <row r="31" spans="3:5" x14ac:dyDescent="0.2">
      <c r="C31" t="s">
        <v>43</v>
      </c>
      <c r="D31" t="s">
        <v>200</v>
      </c>
      <c r="E31" t="s">
        <v>16</v>
      </c>
    </row>
    <row r="32" spans="3:5" x14ac:dyDescent="0.2">
      <c r="C32" t="s">
        <v>43</v>
      </c>
      <c r="D32" t="s">
        <v>195</v>
      </c>
      <c r="E32" t="s">
        <v>17</v>
      </c>
    </row>
    <row r="33" spans="3:5" x14ac:dyDescent="0.2">
      <c r="C33" t="s">
        <v>43</v>
      </c>
      <c r="D33" t="s">
        <v>201</v>
      </c>
      <c r="E33" t="s">
        <v>18</v>
      </c>
    </row>
    <row r="34" spans="3:5" x14ac:dyDescent="0.2">
      <c r="C34" t="s">
        <v>43</v>
      </c>
      <c r="D34" t="s">
        <v>202</v>
      </c>
      <c r="E34" t="s">
        <v>19</v>
      </c>
    </row>
    <row r="35" spans="3:5" x14ac:dyDescent="0.2">
      <c r="C35" t="s">
        <v>43</v>
      </c>
      <c r="D35" t="s">
        <v>196</v>
      </c>
      <c r="E35" t="s">
        <v>20</v>
      </c>
    </row>
    <row r="36" spans="3:5" x14ac:dyDescent="0.2">
      <c r="C36" t="s">
        <v>43</v>
      </c>
      <c r="D36" t="s">
        <v>203</v>
      </c>
      <c r="E36" t="s">
        <v>21</v>
      </c>
    </row>
    <row r="37" spans="3:5" x14ac:dyDescent="0.2">
      <c r="C37" t="s">
        <v>43</v>
      </c>
      <c r="D37" t="s">
        <v>197</v>
      </c>
      <c r="E37" t="s">
        <v>231</v>
      </c>
    </row>
    <row r="38" spans="3:5" x14ac:dyDescent="0.2">
      <c r="C38" t="s">
        <v>43</v>
      </c>
      <c r="D38" t="s">
        <v>198</v>
      </c>
      <c r="E38" t="s">
        <v>74</v>
      </c>
    </row>
    <row r="39" spans="3:5" x14ac:dyDescent="0.2">
      <c r="C39" t="s">
        <v>43</v>
      </c>
      <c r="D39" t="s">
        <v>22</v>
      </c>
      <c r="E39" t="s">
        <v>89</v>
      </c>
    </row>
    <row r="40" spans="3:5" x14ac:dyDescent="0.2">
      <c r="C40" t="s">
        <v>43</v>
      </c>
      <c r="D40" t="s">
        <v>23</v>
      </c>
      <c r="E40" t="s">
        <v>90</v>
      </c>
    </row>
    <row r="41" spans="3:5" x14ac:dyDescent="0.2">
      <c r="C41" t="s">
        <v>43</v>
      </c>
      <c r="D41" t="s">
        <v>24</v>
      </c>
      <c r="E41" t="s">
        <v>92</v>
      </c>
    </row>
    <row r="42" spans="3:5" x14ac:dyDescent="0.2">
      <c r="C42" t="s">
        <v>43</v>
      </c>
      <c r="D42" t="s">
        <v>25</v>
      </c>
      <c r="E42" t="s">
        <v>91</v>
      </c>
    </row>
    <row r="43" spans="3:5" x14ac:dyDescent="0.2">
      <c r="C43" t="s">
        <v>43</v>
      </c>
      <c r="D43" t="s">
        <v>26</v>
      </c>
      <c r="E43" t="s">
        <v>75</v>
      </c>
    </row>
    <row r="44" spans="3:5" x14ac:dyDescent="0.2">
      <c r="C44" t="s">
        <v>43</v>
      </c>
      <c r="D44" t="s">
        <v>95</v>
      </c>
      <c r="E44" t="s">
        <v>106</v>
      </c>
    </row>
    <row r="45" spans="3:5" x14ac:dyDescent="0.2">
      <c r="C45" t="s">
        <v>43</v>
      </c>
      <c r="D45" t="s">
        <v>97</v>
      </c>
      <c r="E45" t="s">
        <v>151</v>
      </c>
    </row>
    <row r="46" spans="3:5" x14ac:dyDescent="0.2">
      <c r="C46" t="s">
        <v>43</v>
      </c>
      <c r="D46" t="s">
        <v>98</v>
      </c>
      <c r="E46" t="s">
        <v>156</v>
      </c>
    </row>
    <row r="47" spans="3:5" x14ac:dyDescent="0.2">
      <c r="C47" t="s">
        <v>43</v>
      </c>
      <c r="D47" t="s">
        <v>99</v>
      </c>
      <c r="E47" t="s">
        <v>107</v>
      </c>
    </row>
    <row r="48" spans="3:5" x14ac:dyDescent="0.2">
      <c r="C48" t="s">
        <v>43</v>
      </c>
      <c r="D48" t="s">
        <v>101</v>
      </c>
      <c r="E48" t="s">
        <v>152</v>
      </c>
    </row>
    <row r="49" spans="3:5" x14ac:dyDescent="0.2">
      <c r="C49" t="s">
        <v>43</v>
      </c>
      <c r="D49" t="s">
        <v>102</v>
      </c>
      <c r="E49" t="s">
        <v>103</v>
      </c>
    </row>
    <row r="50" spans="3:5" x14ac:dyDescent="0.2">
      <c r="C50" t="s">
        <v>43</v>
      </c>
      <c r="D50" t="s">
        <v>116</v>
      </c>
      <c r="E50" t="s">
        <v>108</v>
      </c>
    </row>
    <row r="51" spans="3:5" x14ac:dyDescent="0.2">
      <c r="C51" t="s">
        <v>43</v>
      </c>
      <c r="D51" t="s">
        <v>117</v>
      </c>
      <c r="E51" t="s">
        <v>109</v>
      </c>
    </row>
    <row r="52" spans="3:5" x14ac:dyDescent="0.2">
      <c r="C52" t="s">
        <v>43</v>
      </c>
      <c r="D52" t="s">
        <v>118</v>
      </c>
      <c r="E52" t="s">
        <v>157</v>
      </c>
    </row>
    <row r="53" spans="3:5" x14ac:dyDescent="0.2">
      <c r="C53" t="s">
        <v>43</v>
      </c>
      <c r="D53" t="s">
        <v>94</v>
      </c>
      <c r="E53" t="s">
        <v>75</v>
      </c>
    </row>
    <row r="54" spans="3:5" x14ac:dyDescent="0.2">
      <c r="C54" t="s">
        <v>43</v>
      </c>
      <c r="D54" t="s">
        <v>27</v>
      </c>
      <c r="E54" t="s">
        <v>28</v>
      </c>
    </row>
    <row r="55" spans="3:5" x14ac:dyDescent="0.2">
      <c r="C55" t="s">
        <v>43</v>
      </c>
      <c r="D55" t="s">
        <v>32</v>
      </c>
      <c r="E55" t="s">
        <v>73</v>
      </c>
    </row>
    <row r="56" spans="3:5" x14ac:dyDescent="0.2">
      <c r="C56" t="s">
        <v>43</v>
      </c>
      <c r="D56" t="s">
        <v>29</v>
      </c>
      <c r="E56" t="s">
        <v>111</v>
      </c>
    </row>
    <row r="57" spans="3:5" x14ac:dyDescent="0.2">
      <c r="C57" t="s">
        <v>43</v>
      </c>
      <c r="D57" t="s">
        <v>30</v>
      </c>
      <c r="E57" t="s">
        <v>112</v>
      </c>
    </row>
    <row r="58" spans="3:5" x14ac:dyDescent="0.2">
      <c r="C58" t="s">
        <v>43</v>
      </c>
      <c r="D58" t="s">
        <v>31</v>
      </c>
      <c r="E58" t="s">
        <v>158</v>
      </c>
    </row>
    <row r="59" spans="3:5" x14ac:dyDescent="0.2">
      <c r="C59" t="s">
        <v>43</v>
      </c>
      <c r="D59" t="s">
        <v>204</v>
      </c>
      <c r="E59" t="s">
        <v>205</v>
      </c>
    </row>
    <row r="60" spans="3:5" x14ac:dyDescent="0.2">
      <c r="C60" t="s">
        <v>43</v>
      </c>
      <c r="D60" t="s">
        <v>206</v>
      </c>
      <c r="E60" t="s">
        <v>207</v>
      </c>
    </row>
    <row r="61" spans="3:5" x14ac:dyDescent="0.2">
      <c r="C61" t="s">
        <v>43</v>
      </c>
      <c r="D61" t="s">
        <v>208</v>
      </c>
      <c r="E61" t="s">
        <v>209</v>
      </c>
    </row>
    <row r="62" spans="3:5" x14ac:dyDescent="0.2">
      <c r="C62" t="s">
        <v>43</v>
      </c>
      <c r="D62" t="s">
        <v>210</v>
      </c>
      <c r="E62" t="s">
        <v>211</v>
      </c>
    </row>
    <row r="63" spans="3:5" x14ac:dyDescent="0.2">
      <c r="C63" t="s">
        <v>43</v>
      </c>
      <c r="D63" t="s">
        <v>212</v>
      </c>
      <c r="E63" t="s">
        <v>213</v>
      </c>
    </row>
    <row r="64" spans="3:5" x14ac:dyDescent="0.2">
      <c r="C64" t="s">
        <v>43</v>
      </c>
      <c r="D64" t="s">
        <v>214</v>
      </c>
      <c r="E64" t="s">
        <v>215</v>
      </c>
    </row>
    <row r="65" spans="3:5" x14ac:dyDescent="0.2">
      <c r="C65" t="s">
        <v>43</v>
      </c>
      <c r="D65" t="s">
        <v>33</v>
      </c>
      <c r="E65" t="s">
        <v>75</v>
      </c>
    </row>
    <row r="66" spans="3:5" x14ac:dyDescent="0.2">
      <c r="C66" t="s">
        <v>43</v>
      </c>
      <c r="D66" t="s">
        <v>34</v>
      </c>
      <c r="E66" t="s">
        <v>75</v>
      </c>
    </row>
    <row r="67" spans="3:5" x14ac:dyDescent="0.2">
      <c r="C67" t="s">
        <v>43</v>
      </c>
      <c r="D67" t="s">
        <v>216</v>
      </c>
      <c r="E67" t="s">
        <v>232</v>
      </c>
    </row>
    <row r="68" spans="3:5" x14ac:dyDescent="0.2">
      <c r="C68" t="s">
        <v>43</v>
      </c>
      <c r="D68" t="s">
        <v>113</v>
      </c>
      <c r="E68" t="s">
        <v>128</v>
      </c>
    </row>
    <row r="69" spans="3:5" x14ac:dyDescent="0.2">
      <c r="C69" t="s">
        <v>43</v>
      </c>
      <c r="D69" t="s">
        <v>35</v>
      </c>
      <c r="E69" t="s">
        <v>75</v>
      </c>
    </row>
    <row r="70" spans="3:5" x14ac:dyDescent="0.2">
      <c r="C70" t="s">
        <v>43</v>
      </c>
      <c r="D70" t="s">
        <v>167</v>
      </c>
      <c r="E70" t="s">
        <v>122</v>
      </c>
    </row>
    <row r="71" spans="3:5" x14ac:dyDescent="0.2">
      <c r="C71" t="s">
        <v>43</v>
      </c>
      <c r="D71" t="s">
        <v>168</v>
      </c>
      <c r="E71" t="s">
        <v>119</v>
      </c>
    </row>
    <row r="72" spans="3:5" x14ac:dyDescent="0.2">
      <c r="C72" t="s">
        <v>43</v>
      </c>
      <c r="D72" t="s">
        <v>169</v>
      </c>
      <c r="E72" t="s">
        <v>126</v>
      </c>
    </row>
    <row r="73" spans="3:5" x14ac:dyDescent="0.2">
      <c r="C73" t="s">
        <v>43</v>
      </c>
      <c r="D73" t="s">
        <v>170</v>
      </c>
      <c r="E73" t="s">
        <v>123</v>
      </c>
    </row>
    <row r="74" spans="3:5" x14ac:dyDescent="0.2">
      <c r="C74" t="s">
        <v>43</v>
      </c>
      <c r="D74" t="s">
        <v>176</v>
      </c>
      <c r="E74" t="s">
        <v>163</v>
      </c>
    </row>
    <row r="75" spans="3:5" x14ac:dyDescent="0.2">
      <c r="C75" t="s">
        <v>43</v>
      </c>
      <c r="D75" t="s">
        <v>171</v>
      </c>
      <c r="E75" t="s">
        <v>120</v>
      </c>
    </row>
    <row r="76" spans="3:5" x14ac:dyDescent="0.2">
      <c r="C76" t="s">
        <v>43</v>
      </c>
      <c r="D76" t="s">
        <v>172</v>
      </c>
      <c r="E76" t="s">
        <v>121</v>
      </c>
    </row>
    <row r="77" spans="3:5" x14ac:dyDescent="0.2">
      <c r="C77" t="s">
        <v>43</v>
      </c>
      <c r="D77" t="s">
        <v>173</v>
      </c>
      <c r="E77" t="s">
        <v>124</v>
      </c>
    </row>
    <row r="78" spans="3:5" x14ac:dyDescent="0.2">
      <c r="C78" t="s">
        <v>43</v>
      </c>
      <c r="D78" t="s">
        <v>174</v>
      </c>
      <c r="E78" t="s">
        <v>125</v>
      </c>
    </row>
    <row r="79" spans="3:5" x14ac:dyDescent="0.2">
      <c r="C79" t="s">
        <v>43</v>
      </c>
      <c r="D79" t="s">
        <v>175</v>
      </c>
      <c r="E79"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crosscheck</vt:lpstr>
      <vt:lpstr>guidelines-string</vt:lpstr>
      <vt:lpstr>epub-metadata-strings</vt:lpstr>
      <vt:lpstr>onix-metadata-strings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Gregorio Pellegrino - Fondazione LIA</dc:creator>
  <cp:lastModifiedBy>Gregorio Pellegrino - Fondazione LIA</cp:lastModifiedBy>
  <dcterms:created xsi:type="dcterms:W3CDTF">2024-08-09T12:17:11Z</dcterms:created>
  <dcterms:modified xsi:type="dcterms:W3CDTF">2025-11-18T16:39:34Z</dcterms:modified>
</cp:coreProperties>
</file>